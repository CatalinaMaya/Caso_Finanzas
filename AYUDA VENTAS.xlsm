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hans\OneDrive\Desktop\"/>
    </mc:Choice>
  </mc:AlternateContent>
  <xr:revisionPtr revIDLastSave="0" documentId="13_ncr:1_{E6BF8655-11EF-4E56-AB9C-586788078860}" xr6:coauthVersionLast="47" xr6:coauthVersionMax="47" xr10:uidLastSave="{00000000-0000-0000-0000-000000000000}"/>
  <bookViews>
    <workbookView xWindow="-108" yWindow="-108" windowWidth="23256" windowHeight="13176" activeTab="2" xr2:uid="{FDBFDACC-93B9-41A0-B5BD-D331A1A13E80}"/>
  </bookViews>
  <sheets>
    <sheet name="INTERFAZ PRINCIPAL" sheetId="2" r:id="rId1"/>
    <sheet name="DATOS" sheetId="1" r:id="rId2"/>
    <sheet name="INTERFAZ PRINCIPAL M2" sheetId="4" r:id="rId3"/>
    <sheet name="DATOS M2" sheetId="6" r:id="rId4"/>
    <sheet name="1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9" i="1" l="1"/>
  <c r="J11" i="6"/>
  <c r="J12" i="6"/>
  <c r="J13" i="6"/>
  <c r="J14" i="6"/>
  <c r="J15" i="6"/>
  <c r="J16" i="6"/>
  <c r="J10" i="6"/>
  <c r="J9" i="6"/>
  <c r="J8" i="6"/>
  <c r="J7" i="6"/>
  <c r="J6" i="6"/>
  <c r="J5" i="6"/>
  <c r="J4" i="6"/>
  <c r="J3" i="6"/>
  <c r="K27" i="6"/>
  <c r="J4" i="1"/>
  <c r="K19" i="1"/>
  <c r="J6" i="1"/>
  <c r="J7" i="1"/>
  <c r="J8" i="1"/>
  <c r="J5" i="1"/>
  <c r="J3" i="1"/>
  <c r="J20" i="6" l="1"/>
  <c r="J12" i="1"/>
  <c r="J21" i="1" s="1"/>
  <c r="J29" i="6" l="1"/>
</calcChain>
</file>

<file path=xl/sharedStrings.xml><?xml version="1.0" encoding="utf-8"?>
<sst xmlns="http://schemas.openxmlformats.org/spreadsheetml/2006/main" count="119" uniqueCount="43">
  <si>
    <t>Cancer</t>
  </si>
  <si>
    <t>Epoc</t>
  </si>
  <si>
    <t>Diabetes</t>
  </si>
  <si>
    <t>¿Tiene cancer?</t>
  </si>
  <si>
    <t>¿Tiene EPOC?</t>
  </si>
  <si>
    <t>¿Tiene diabetes?</t>
  </si>
  <si>
    <t>¿Tiene hipertensión?</t>
  </si>
  <si>
    <t>¿Cuál es su sexo?</t>
  </si>
  <si>
    <t>¿Cuál es su edad</t>
  </si>
  <si>
    <t>Sexo</t>
  </si>
  <si>
    <t>Edad</t>
  </si>
  <si>
    <t>Masculino</t>
  </si>
  <si>
    <t>Femenino</t>
  </si>
  <si>
    <t>¿Tiene alguna enfermedad cardiovascular?</t>
  </si>
  <si>
    <t xml:space="preserve">Sí </t>
  </si>
  <si>
    <t>No</t>
  </si>
  <si>
    <t>Hipertension</t>
  </si>
  <si>
    <t>Enf_cardiovascular</t>
  </si>
  <si>
    <t>PRIMA PURA</t>
  </si>
  <si>
    <t>INGRESE LA SIGUIENTE INFORMACIÓN</t>
  </si>
  <si>
    <t xml:space="preserve"> VALOR PRIMA PURA</t>
  </si>
  <si>
    <t xml:space="preserve"> VALOR PRIMA COMERCIAL</t>
  </si>
  <si>
    <t>PRIMA COMERCIAL</t>
  </si>
  <si>
    <t xml:space="preserve">Gasto administrativo </t>
  </si>
  <si>
    <t>Comisión</t>
  </si>
  <si>
    <t>Utilidad</t>
  </si>
  <si>
    <t>Fact carga</t>
  </si>
  <si>
    <t>TARIFACIÓN PARA SEGURO DE SALUD</t>
  </si>
  <si>
    <t>¿Tiene cáncer?</t>
  </si>
  <si>
    <t>Intercept: -549908.6898312643 coeficiente [('Cancer', -1425836.4736106202), ('Epoc', 4048619.175379904), ('Diabetes', 2639606.7867098916),</t>
  </si>
  <si>
    <t>('Hipertension', -244058.46554359025), ('Enf_cardiovascular', 3959959.895035567), ('Edad', 212632.45498042926),</t>
  </si>
  <si>
    <t>('Sexo_cd', 773692.3725607379), ('Tratamiento ambulatorio por cancer', 197233641.93963346), ('Tratamiento quirurgico hospitalario por enfermedad',</t>
  </si>
  <si>
    <t>153915397.4830456), ('Traslado en ambulancia', 647778483.4764522), ('Examenes de diagnostico', 97681203.62543508), ('Tratamiento quirurgico hospitalario por cancer y complicaciones',</t>
  </si>
  <si>
    <t>266251950.13241467), ('Tratamiento medico hospitalario por cancer y complicaciones', 474739464.63045806), ('Tratamiento medico hospitalario por enfermedad', 189607680.72080323)]</t>
  </si>
  <si>
    <t>En los últimos dos años</t>
  </si>
  <si>
    <t>¿Cuántos tratamientos ambulatorios por cáncer ha tenido?</t>
  </si>
  <si>
    <t xml:space="preserve">¿Cuántos tratamiento quirúrgicos hospitalarios por alguna enfermedad ha tenido? </t>
  </si>
  <si>
    <t xml:space="preserve">¿Cuántos traslados en ambulancia ha tenido? </t>
  </si>
  <si>
    <t xml:space="preserve">¿Cuántps examenes de diagnóstico ha tenido? </t>
  </si>
  <si>
    <t>¿Cuántos tratamientos quirúrgicos hospitalarios por cáncer ha tenido?</t>
  </si>
  <si>
    <t xml:space="preserve">¿Cuántos tratamientos médicos hospitalarios por cáncer ha tenido? </t>
  </si>
  <si>
    <t xml:space="preserve">¿Cuántos tratamientos médicos hospitalarios por alguna enfermedad ha tenido? </t>
  </si>
  <si>
    <t>Actualmente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</si>
</sst>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75" formatCode="_-[$$-240A]\ * #,##0_-;\-[$$-240A]\ * #,##0_-;_-[$$-240A]\ 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212121"/>
      <name val="Courier New"/>
      <family val="3"/>
    </font>
    <font>
      <b/>
      <sz val="22"/>
      <color theme="0"/>
      <name val="Calibri Light"/>
      <family val="2"/>
      <scheme val="major"/>
    </font>
    <font>
      <i/>
      <sz val="18"/>
      <color theme="1"/>
      <name val="Calibri Light"/>
      <family val="2"/>
      <scheme val="major"/>
    </font>
    <font>
      <sz val="18"/>
      <color theme="1"/>
      <name val="Calibri Light"/>
      <family val="2"/>
      <scheme val="major"/>
    </font>
    <font>
      <sz val="18"/>
      <color theme="0"/>
      <name val="Calibri Light"/>
      <family val="2"/>
      <scheme val="major"/>
    </font>
    <font>
      <b/>
      <sz val="14"/>
      <color theme="0"/>
      <name val="Calibri"/>
      <family val="2"/>
      <scheme val="minor"/>
    </font>
    <font>
      <b/>
      <sz val="36"/>
      <color theme="0"/>
      <name val="Calibri Light"/>
      <family val="2"/>
      <scheme val="major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/>
      <right style="medium">
        <color theme="4" tint="-0.499984740745262"/>
      </right>
      <top/>
      <bottom/>
      <diagonal/>
    </border>
    <border>
      <left/>
      <right/>
      <top style="medium">
        <color theme="4" tint="-0.499984740745262"/>
      </top>
      <bottom/>
      <diagonal/>
    </border>
    <border>
      <left style="medium">
        <color theme="4" tint="-0.499984740745262"/>
      </left>
      <right/>
      <top/>
      <bottom/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 style="medium">
        <color theme="4" tint="-0.499984740745262"/>
      </left>
      <right style="thin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medium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medium">
        <color theme="4" tint="-0.499984740745262"/>
      </right>
      <top style="thin">
        <color theme="4" tint="-0.499984740745262"/>
      </top>
      <bottom/>
      <diagonal/>
    </border>
    <border>
      <left style="medium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medium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medium">
        <color theme="4" tint="-0.499984740745262"/>
      </left>
      <right style="thin">
        <color theme="4" tint="-0.499984740745262"/>
      </right>
      <top/>
      <bottom/>
      <diagonal/>
    </border>
    <border>
      <left style="thin">
        <color theme="4" tint="-0.499984740745262"/>
      </left>
      <right style="medium">
        <color theme="4" tint="-0.499984740745262"/>
      </right>
      <top/>
      <bottom style="thin">
        <color theme="4" tint="-0.499984740745262"/>
      </bottom>
      <diagonal/>
    </border>
    <border>
      <left style="medium">
        <color theme="4" tint="-0.499984740745262"/>
      </left>
      <right style="thin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4" tint="-0.499984740745262"/>
      </left>
      <right style="medium">
        <color theme="4" tint="-0.499984740745262"/>
      </right>
      <top/>
      <bottom style="medium">
        <color theme="4" tint="-0.499984740745262"/>
      </bottom>
      <diagonal/>
    </border>
    <border>
      <left style="medium">
        <color theme="4" tint="-0.499984740745262"/>
      </left>
      <right style="thin">
        <color theme="4" tint="-0.499984740745262"/>
      </right>
      <top style="medium">
        <color theme="4" tint="-0.499984740745262"/>
      </top>
      <bottom/>
      <diagonal/>
    </border>
    <border>
      <left style="thin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 style="medium">
        <color theme="4" tint="-0.499984740745262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9">
    <xf numFmtId="0" fontId="0" fillId="0" borderId="0" xfId="0"/>
    <xf numFmtId="0" fontId="4" fillId="0" borderId="0" xfId="0" applyFont="1"/>
    <xf numFmtId="0" fontId="0" fillId="3" borderId="0" xfId="0" applyFill="1" applyBorder="1"/>
    <xf numFmtId="0" fontId="0" fillId="3" borderId="7" xfId="0" applyFill="1" applyBorder="1"/>
    <xf numFmtId="0" fontId="0" fillId="3" borderId="5" xfId="0" applyFill="1" applyBorder="1"/>
    <xf numFmtId="0" fontId="0" fillId="2" borderId="3" xfId="0" applyFill="1" applyBorder="1"/>
    <xf numFmtId="0" fontId="0" fillId="2" borderId="6" xfId="0" applyFill="1" applyBorder="1"/>
    <xf numFmtId="0" fontId="0" fillId="2" borderId="4" xfId="0" applyFill="1" applyBorder="1"/>
    <xf numFmtId="0" fontId="0" fillId="2" borderId="7" xfId="0" applyFill="1" applyBorder="1"/>
    <xf numFmtId="0" fontId="0" fillId="2" borderId="5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6" fillId="4" borderId="11" xfId="0" applyFont="1" applyFill="1" applyBorder="1" applyAlignment="1">
      <alignment horizontal="left"/>
    </xf>
    <xf numFmtId="0" fontId="6" fillId="4" borderId="13" xfId="0" applyFont="1" applyFill="1" applyBorder="1" applyAlignment="1">
      <alignment horizontal="left"/>
    </xf>
    <xf numFmtId="0" fontId="6" fillId="4" borderId="15" xfId="0" applyFont="1" applyFill="1" applyBorder="1" applyAlignment="1">
      <alignment horizontal="left"/>
    </xf>
    <xf numFmtId="0" fontId="6" fillId="4" borderId="17" xfId="0" applyFont="1" applyFill="1" applyBorder="1" applyAlignment="1">
      <alignment horizontal="left"/>
    </xf>
    <xf numFmtId="0" fontId="6" fillId="4" borderId="19" xfId="0" applyFont="1" applyFill="1" applyBorder="1" applyAlignment="1">
      <alignment horizontal="left" vertical="center" wrapText="1"/>
    </xf>
    <xf numFmtId="0" fontId="7" fillId="4" borderId="12" xfId="0" applyFont="1" applyFill="1" applyBorder="1" applyAlignment="1">
      <alignment horizontal="center"/>
    </xf>
    <xf numFmtId="0" fontId="7" fillId="4" borderId="14" xfId="0" applyFont="1" applyFill="1" applyBorder="1" applyAlignment="1">
      <alignment horizontal="center"/>
    </xf>
    <xf numFmtId="0" fontId="7" fillId="4" borderId="16" xfId="0" applyFont="1" applyFill="1" applyBorder="1" applyAlignment="1">
      <alignment horizontal="center"/>
    </xf>
    <xf numFmtId="0" fontId="7" fillId="4" borderId="18" xfId="0" applyFont="1" applyFill="1" applyBorder="1" applyAlignment="1">
      <alignment horizontal="center"/>
    </xf>
    <xf numFmtId="0" fontId="8" fillId="2" borderId="20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10" fillId="5" borderId="6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 vertical="center"/>
    </xf>
    <xf numFmtId="0" fontId="10" fillId="5" borderId="5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  <xf numFmtId="175" fontId="3" fillId="5" borderId="0" xfId="1" applyNumberFormat="1" applyFont="1" applyFill="1"/>
    <xf numFmtId="0" fontId="8" fillId="2" borderId="2" xfId="0" applyFont="1" applyFill="1" applyBorder="1" applyAlignment="1">
      <alignment horizontal="center" vertical="center"/>
    </xf>
    <xf numFmtId="0" fontId="0" fillId="0" borderId="22" xfId="0" applyBorder="1"/>
    <xf numFmtId="9" fontId="0" fillId="0" borderId="22" xfId="0" applyNumberFormat="1" applyBorder="1"/>
    <xf numFmtId="0" fontId="0" fillId="0" borderId="23" xfId="0" applyBorder="1"/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75" fontId="3" fillId="5" borderId="22" xfId="1" applyNumberFormat="1" applyFont="1" applyFill="1" applyBorder="1"/>
    <xf numFmtId="175" fontId="9" fillId="2" borderId="4" xfId="1" applyNumberFormat="1" applyFont="1" applyFill="1" applyBorder="1" applyAlignment="1">
      <alignment horizontal="center" vertical="center"/>
    </xf>
    <xf numFmtId="175" fontId="9" fillId="2" borderId="2" xfId="1" applyNumberFormat="1" applyFont="1" applyFill="1" applyBorder="1" applyAlignment="1">
      <alignment horizontal="center" vertical="center"/>
    </xf>
    <xf numFmtId="0" fontId="2" fillId="0" borderId="22" xfId="0" applyFont="1" applyBorder="1"/>
    <xf numFmtId="9" fontId="2" fillId="0" borderId="22" xfId="0" applyNumberFormat="1" applyFont="1" applyBorder="1"/>
    <xf numFmtId="0" fontId="2" fillId="0" borderId="22" xfId="0" applyFont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left" wrapText="1"/>
    </xf>
    <xf numFmtId="0" fontId="7" fillId="4" borderId="29" xfId="0" applyFont="1" applyFill="1" applyBorder="1" applyAlignment="1">
      <alignment horizontal="center"/>
    </xf>
    <xf numFmtId="0" fontId="4" fillId="0" borderId="0" xfId="0" applyFont="1" applyAlignment="1">
      <alignment vertical="center" wrapText="1"/>
    </xf>
    <xf numFmtId="0" fontId="6" fillId="4" borderId="19" xfId="0" applyFont="1" applyFill="1" applyBorder="1" applyAlignment="1">
      <alignment horizontal="left" wrapText="1"/>
    </xf>
    <xf numFmtId="0" fontId="7" fillId="4" borderId="31" xfId="0" applyFont="1" applyFill="1" applyBorder="1" applyAlignment="1">
      <alignment horizontal="center"/>
    </xf>
    <xf numFmtId="0" fontId="6" fillId="4" borderId="30" xfId="0" applyFont="1" applyFill="1" applyBorder="1" applyAlignment="1">
      <alignment horizontal="left" wrapText="1"/>
    </xf>
    <xf numFmtId="0" fontId="5" fillId="2" borderId="20" xfId="0" applyFont="1" applyFill="1" applyBorder="1" applyAlignment="1">
      <alignment horizontal="center"/>
    </xf>
    <xf numFmtId="0" fontId="5" fillId="2" borderId="21" xfId="0" applyFont="1" applyFill="1" applyBorder="1" applyAlignment="1">
      <alignment horizontal="center"/>
    </xf>
    <xf numFmtId="0" fontId="5" fillId="2" borderId="32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left" vertical="center"/>
    </xf>
    <xf numFmtId="0" fontId="6" fillId="4" borderId="13" xfId="0" applyFont="1" applyFill="1" applyBorder="1" applyAlignment="1">
      <alignment horizontal="left" vertical="center"/>
    </xf>
    <xf numFmtId="0" fontId="6" fillId="4" borderId="15" xfId="0" applyFont="1" applyFill="1" applyBorder="1" applyAlignment="1">
      <alignment horizontal="left" vertical="center"/>
    </xf>
    <xf numFmtId="0" fontId="6" fillId="4" borderId="17" xfId="0" applyFont="1" applyFill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23" xfId="0" applyBorder="1" applyAlignment="1">
      <alignment wrapText="1"/>
    </xf>
    <xf numFmtId="0" fontId="4" fillId="6" borderId="0" xfId="0" applyFont="1" applyFill="1" applyAlignment="1">
      <alignment vertical="center" wrapText="1"/>
    </xf>
    <xf numFmtId="0" fontId="0" fillId="0" borderId="22" xfId="0" applyFont="1" applyBorder="1" applyAlignment="1">
      <alignment horizontal="center" vertic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597373</xdr:colOff>
      <xdr:row>9</xdr:row>
      <xdr:rowOff>16748</xdr:rowOff>
    </xdr:from>
    <xdr:to>
      <xdr:col>10</xdr:col>
      <xdr:colOff>391633</xdr:colOff>
      <xdr:row>15</xdr:row>
      <xdr:rowOff>28387</xdr:rowOff>
    </xdr:to>
    <xdr:sp macro="[0]!Calcular" textlink="">
      <xdr:nvSpPr>
        <xdr:cNvPr id="2" name="Rectángulo: biselado 1">
          <a:extLst>
            <a:ext uri="{FF2B5EF4-FFF2-40B4-BE49-F238E27FC236}">
              <a16:creationId xmlns:a16="http://schemas.microsoft.com/office/drawing/2014/main" id="{262F396D-2AC9-9647-3479-6DF33CD91629}"/>
            </a:ext>
          </a:extLst>
        </xdr:cNvPr>
        <xdr:cNvSpPr/>
      </xdr:nvSpPr>
      <xdr:spPr>
        <a:xfrm>
          <a:off x="7647966" y="2302748"/>
          <a:ext cx="3771733" cy="1770101"/>
        </a:xfrm>
        <a:prstGeom prst="bevel">
          <a:avLst/>
        </a:prstGeom>
        <a:blipFill dpi="0"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 b="1">
              <a:solidFill>
                <a:schemeClr val="bg1"/>
              </a:solidFill>
              <a:latin typeface="+mj-lt"/>
            </a:rPr>
            <a:t>CALCULAR</a:t>
          </a:r>
          <a:r>
            <a:rPr lang="es-CO" sz="1600" b="1" baseline="0">
              <a:solidFill>
                <a:schemeClr val="bg1"/>
              </a:solidFill>
              <a:latin typeface="+mj-lt"/>
            </a:rPr>
            <a:t> VALOR</a:t>
          </a:r>
        </a:p>
      </xdr:txBody>
    </xdr:sp>
    <xdr:clientData/>
  </xdr:twoCellAnchor>
  <xdr:twoCellAnchor>
    <xdr:from>
      <xdr:col>7</xdr:col>
      <xdr:colOff>329084</xdr:colOff>
      <xdr:row>15</xdr:row>
      <xdr:rowOff>414160</xdr:rowOff>
    </xdr:from>
    <xdr:to>
      <xdr:col>8</xdr:col>
      <xdr:colOff>778664</xdr:colOff>
      <xdr:row>18</xdr:row>
      <xdr:rowOff>145451</xdr:rowOff>
    </xdr:to>
    <xdr:sp macro="[0]!Limpiar" textlink="">
      <xdr:nvSpPr>
        <xdr:cNvPr id="11" name="Rectángulo: biselado 10">
          <a:extLst>
            <a:ext uri="{FF2B5EF4-FFF2-40B4-BE49-F238E27FC236}">
              <a16:creationId xmlns:a16="http://schemas.microsoft.com/office/drawing/2014/main" id="{0A1F3754-46B6-4655-B952-B82A17BBD034}"/>
            </a:ext>
          </a:extLst>
        </xdr:cNvPr>
        <xdr:cNvSpPr/>
      </xdr:nvSpPr>
      <xdr:spPr>
        <a:xfrm>
          <a:off x="8970666" y="4458622"/>
          <a:ext cx="1245075" cy="903598"/>
        </a:xfrm>
        <a:prstGeom prst="bevel">
          <a:avLst/>
        </a:prstGeom>
        <a:blipFill dpi="0"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 w="1270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600" b="1" baseline="0">
            <a:solidFill>
              <a:schemeClr val="bg1"/>
            </a:solidFill>
            <a:latin typeface="+mj-lt"/>
          </a:endParaRPr>
        </a:p>
      </xdr:txBody>
    </xdr:sp>
    <xdr:clientData/>
  </xdr:twoCellAnchor>
  <xdr:twoCellAnchor editAs="oneCell">
    <xdr:from>
      <xdr:col>9</xdr:col>
      <xdr:colOff>186750</xdr:colOff>
      <xdr:row>1</xdr:row>
      <xdr:rowOff>91440</xdr:rowOff>
    </xdr:from>
    <xdr:to>
      <xdr:col>11</xdr:col>
      <xdr:colOff>693420</xdr:colOff>
      <xdr:row>5</xdr:row>
      <xdr:rowOff>196198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A4E08FFB-2A5C-46EE-E7E8-3B1655631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405170" y="281940"/>
          <a:ext cx="2091630" cy="1171558"/>
        </a:xfrm>
        <a:prstGeom prst="rect">
          <a:avLst/>
        </a:prstGeom>
        <a:ln w="28575"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906781</xdr:colOff>
      <xdr:row>17</xdr:row>
      <xdr:rowOff>76200</xdr:rowOff>
    </xdr:from>
    <xdr:to>
      <xdr:col>5</xdr:col>
      <xdr:colOff>4686300</xdr:colOff>
      <xdr:row>21</xdr:row>
      <xdr:rowOff>28387</xdr:rowOff>
    </xdr:to>
    <xdr:sp macro="[0]!Calcular2" textlink="">
      <xdr:nvSpPr>
        <xdr:cNvPr id="2" name="Rectángulo: biselado 1">
          <a:extLst>
            <a:ext uri="{FF2B5EF4-FFF2-40B4-BE49-F238E27FC236}">
              <a16:creationId xmlns:a16="http://schemas.microsoft.com/office/drawing/2014/main" id="{566B11A2-E40E-42A9-91BB-BFA5F734B39B}"/>
            </a:ext>
          </a:extLst>
        </xdr:cNvPr>
        <xdr:cNvSpPr/>
      </xdr:nvSpPr>
      <xdr:spPr>
        <a:xfrm>
          <a:off x="6042661" y="6080760"/>
          <a:ext cx="3779519" cy="1003747"/>
        </a:xfrm>
        <a:prstGeom prst="bevel">
          <a:avLst/>
        </a:prstGeom>
        <a:blipFill dpi="0"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 b="1">
              <a:solidFill>
                <a:schemeClr val="bg1"/>
              </a:solidFill>
              <a:latin typeface="+mj-lt"/>
            </a:rPr>
            <a:t>CALCULAR</a:t>
          </a:r>
          <a:r>
            <a:rPr lang="es-CO" sz="1600" b="1" baseline="0">
              <a:solidFill>
                <a:schemeClr val="bg1"/>
              </a:solidFill>
              <a:latin typeface="+mj-lt"/>
            </a:rPr>
            <a:t> VALOR</a:t>
          </a:r>
        </a:p>
      </xdr:txBody>
    </xdr:sp>
    <xdr:clientData/>
  </xdr:twoCellAnchor>
  <xdr:twoCellAnchor>
    <xdr:from>
      <xdr:col>5</xdr:col>
      <xdr:colOff>5029200</xdr:colOff>
      <xdr:row>17</xdr:row>
      <xdr:rowOff>76200</xdr:rowOff>
    </xdr:from>
    <xdr:to>
      <xdr:col>5</xdr:col>
      <xdr:colOff>5974080</xdr:colOff>
      <xdr:row>21</xdr:row>
      <xdr:rowOff>30480</xdr:rowOff>
    </xdr:to>
    <xdr:sp macro="[0]!Limpiar2" textlink="">
      <xdr:nvSpPr>
        <xdr:cNvPr id="3" name="Rectángulo: biselado 2">
          <a:extLst>
            <a:ext uri="{FF2B5EF4-FFF2-40B4-BE49-F238E27FC236}">
              <a16:creationId xmlns:a16="http://schemas.microsoft.com/office/drawing/2014/main" id="{EEB9CB38-AD2F-42C1-8349-B33488537518}"/>
            </a:ext>
          </a:extLst>
        </xdr:cNvPr>
        <xdr:cNvSpPr/>
      </xdr:nvSpPr>
      <xdr:spPr>
        <a:xfrm>
          <a:off x="10165080" y="6080760"/>
          <a:ext cx="944880" cy="1005840"/>
        </a:xfrm>
        <a:prstGeom prst="bevel">
          <a:avLst/>
        </a:prstGeom>
        <a:blipFill dpi="0"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 w="1270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600" b="1" baseline="0">
            <a:solidFill>
              <a:schemeClr val="bg1"/>
            </a:solidFill>
            <a:latin typeface="+mj-lt"/>
          </a:endParaRPr>
        </a:p>
      </xdr:txBody>
    </xdr:sp>
    <xdr:clientData/>
  </xdr:twoCellAnchor>
  <xdr:twoCellAnchor editAs="oneCell">
    <xdr:from>
      <xdr:col>5</xdr:col>
      <xdr:colOff>5581327</xdr:colOff>
      <xdr:row>1</xdr:row>
      <xdr:rowOff>73479</xdr:rowOff>
    </xdr:from>
    <xdr:to>
      <xdr:col>7</xdr:col>
      <xdr:colOff>91806</xdr:colOff>
      <xdr:row>5</xdr:row>
      <xdr:rowOff>194636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DC32030B-2ED1-491B-8B41-1215D20DD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78604" y="266274"/>
          <a:ext cx="1956045" cy="1186121"/>
        </a:xfrm>
        <a:prstGeom prst="rect">
          <a:avLst/>
        </a:prstGeom>
        <a:ln w="28575"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6008B-A73B-4688-959F-DBF03334E840}">
  <sheetPr codeName="Hoja1"/>
  <dimension ref="A1:O21"/>
  <sheetViews>
    <sheetView zoomScale="91" zoomScaleNormal="91" workbookViewId="0"/>
  </sheetViews>
  <sheetFormatPr baseColWidth="10" defaultRowHeight="14.4" x14ac:dyDescent="0.3"/>
  <cols>
    <col min="1" max="1" width="3.33203125" customWidth="1"/>
    <col min="3" max="3" width="7.33203125" customWidth="1"/>
    <col min="4" max="4" width="56.44140625" customWidth="1"/>
    <col min="5" max="5" width="20" customWidth="1"/>
    <col min="13" max="13" width="3" customWidth="1"/>
  </cols>
  <sheetData>
    <row r="1" spans="1:15" ht="15" thickBot="1" x14ac:dyDescent="0.35">
      <c r="A1" s="5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7"/>
    </row>
    <row r="2" spans="1:15" ht="21" customHeight="1" x14ac:dyDescent="0.3">
      <c r="A2" s="8"/>
      <c r="B2" s="23" t="s">
        <v>27</v>
      </c>
      <c r="C2" s="24"/>
      <c r="D2" s="24"/>
      <c r="E2" s="24"/>
      <c r="F2" s="24"/>
      <c r="G2" s="24"/>
      <c r="H2" s="24"/>
      <c r="I2" s="24"/>
      <c r="J2" s="24"/>
      <c r="K2" s="24"/>
      <c r="L2" s="25"/>
      <c r="M2" s="9"/>
    </row>
    <row r="3" spans="1:15" ht="21" customHeight="1" x14ac:dyDescent="0.3">
      <c r="A3" s="8"/>
      <c r="B3" s="26"/>
      <c r="C3" s="27"/>
      <c r="D3" s="27"/>
      <c r="E3" s="27"/>
      <c r="F3" s="27"/>
      <c r="G3" s="27"/>
      <c r="H3" s="27"/>
      <c r="I3" s="27"/>
      <c r="J3" s="27"/>
      <c r="K3" s="27"/>
      <c r="L3" s="28"/>
      <c r="M3" s="9"/>
    </row>
    <row r="4" spans="1:15" ht="21" customHeight="1" x14ac:dyDescent="0.3">
      <c r="A4" s="8"/>
      <c r="B4" s="26"/>
      <c r="C4" s="27"/>
      <c r="D4" s="27"/>
      <c r="E4" s="27"/>
      <c r="F4" s="27"/>
      <c r="G4" s="27"/>
      <c r="H4" s="27"/>
      <c r="I4" s="27"/>
      <c r="J4" s="27"/>
      <c r="K4" s="27"/>
      <c r="L4" s="28"/>
      <c r="M4" s="9"/>
    </row>
    <row r="5" spans="1:15" ht="21" customHeight="1" x14ac:dyDescent="0.3">
      <c r="A5" s="8"/>
      <c r="B5" s="26"/>
      <c r="C5" s="27"/>
      <c r="D5" s="27"/>
      <c r="E5" s="27"/>
      <c r="F5" s="27"/>
      <c r="G5" s="27"/>
      <c r="H5" s="27"/>
      <c r="I5" s="27"/>
      <c r="J5" s="27"/>
      <c r="K5" s="27"/>
      <c r="L5" s="28"/>
      <c r="M5" s="9"/>
    </row>
    <row r="6" spans="1:15" ht="21" customHeight="1" thickBot="1" x14ac:dyDescent="0.35">
      <c r="A6" s="8"/>
      <c r="B6" s="29"/>
      <c r="C6" s="30"/>
      <c r="D6" s="30"/>
      <c r="E6" s="30"/>
      <c r="F6" s="30"/>
      <c r="G6" s="30"/>
      <c r="H6" s="30"/>
      <c r="I6" s="30"/>
      <c r="J6" s="30"/>
      <c r="K6" s="30"/>
      <c r="L6" s="31"/>
      <c r="M6" s="9"/>
    </row>
    <row r="7" spans="1:15" x14ac:dyDescent="0.3">
      <c r="A7" s="8"/>
      <c r="B7" s="3"/>
      <c r="C7" s="2"/>
      <c r="D7" s="2"/>
      <c r="E7" s="2"/>
      <c r="F7" s="2"/>
      <c r="G7" s="2"/>
      <c r="H7" s="2"/>
      <c r="I7" s="2"/>
      <c r="J7" s="2"/>
      <c r="K7" s="2"/>
      <c r="L7" s="4"/>
      <c r="M7" s="9"/>
    </row>
    <row r="8" spans="1:15" ht="15" thickBot="1" x14ac:dyDescent="0.35">
      <c r="A8" s="8"/>
      <c r="B8" s="3"/>
      <c r="C8" s="2"/>
      <c r="D8" s="2"/>
      <c r="E8" s="2"/>
      <c r="F8" s="2"/>
      <c r="G8" s="2"/>
      <c r="H8" s="2"/>
      <c r="I8" s="2"/>
      <c r="J8" s="2"/>
      <c r="K8" s="2"/>
      <c r="L8" s="4"/>
      <c r="M8" s="9"/>
    </row>
    <row r="9" spans="1:15" ht="29.4" thickBot="1" x14ac:dyDescent="0.6">
      <c r="A9" s="8"/>
      <c r="B9" s="3"/>
      <c r="C9" s="2"/>
      <c r="D9" s="50" t="s">
        <v>19</v>
      </c>
      <c r="E9" s="51"/>
      <c r="F9" s="2"/>
      <c r="G9" s="2"/>
      <c r="H9" s="2"/>
      <c r="I9" s="2"/>
      <c r="J9" s="2"/>
      <c r="K9" s="2"/>
      <c r="L9" s="4"/>
      <c r="M9" s="9"/>
      <c r="O9" s="1"/>
    </row>
    <row r="10" spans="1:15" ht="23.4" x14ac:dyDescent="0.45">
      <c r="A10" s="8"/>
      <c r="B10" s="3"/>
      <c r="C10" s="2"/>
      <c r="D10" s="13" t="s">
        <v>9</v>
      </c>
      <c r="E10" s="18" t="s">
        <v>12</v>
      </c>
      <c r="F10" s="2"/>
      <c r="G10" s="2"/>
      <c r="H10" s="2"/>
      <c r="I10" s="2"/>
      <c r="J10" s="2"/>
      <c r="K10" s="2"/>
      <c r="L10" s="4"/>
      <c r="M10" s="9"/>
    </row>
    <row r="11" spans="1:15" ht="23.4" x14ac:dyDescent="0.45">
      <c r="A11" s="8"/>
      <c r="B11" s="3"/>
      <c r="C11" s="2"/>
      <c r="D11" s="14" t="s">
        <v>10</v>
      </c>
      <c r="E11" s="19">
        <v>1</v>
      </c>
      <c r="F11" s="2"/>
      <c r="G11" s="2"/>
      <c r="H11" s="2"/>
      <c r="I11" s="2"/>
      <c r="J11" s="2"/>
      <c r="K11" s="2"/>
      <c r="L11" s="4"/>
      <c r="M11" s="9"/>
    </row>
    <row r="12" spans="1:15" ht="23.4" x14ac:dyDescent="0.45">
      <c r="A12" s="8"/>
      <c r="B12" s="3"/>
      <c r="C12" s="2"/>
      <c r="D12" s="15" t="s">
        <v>28</v>
      </c>
      <c r="E12" s="20" t="s">
        <v>15</v>
      </c>
      <c r="F12" s="2"/>
      <c r="G12" s="2"/>
      <c r="H12" s="2"/>
      <c r="I12" s="2"/>
      <c r="J12" s="2"/>
      <c r="K12" s="2"/>
      <c r="L12" s="4"/>
      <c r="M12" s="9"/>
    </row>
    <row r="13" spans="1:15" ht="23.4" x14ac:dyDescent="0.45">
      <c r="A13" s="8"/>
      <c r="B13" s="3"/>
      <c r="C13" s="2"/>
      <c r="D13" s="16" t="s">
        <v>4</v>
      </c>
      <c r="E13" s="19" t="s">
        <v>15</v>
      </c>
      <c r="F13" s="2"/>
      <c r="G13" s="2"/>
      <c r="H13" s="2"/>
      <c r="I13" s="2"/>
      <c r="J13" s="2"/>
      <c r="K13" s="2"/>
      <c r="L13" s="4"/>
      <c r="M13" s="9"/>
    </row>
    <row r="14" spans="1:15" ht="23.4" x14ac:dyDescent="0.45">
      <c r="A14" s="8"/>
      <c r="B14" s="3"/>
      <c r="C14" s="2"/>
      <c r="D14" s="15" t="s">
        <v>5</v>
      </c>
      <c r="E14" s="20" t="s">
        <v>15</v>
      </c>
      <c r="F14" s="2"/>
      <c r="G14" s="2"/>
      <c r="H14" s="2"/>
      <c r="I14" s="2"/>
      <c r="J14" s="2"/>
      <c r="K14" s="2"/>
      <c r="L14" s="4"/>
      <c r="M14" s="9"/>
    </row>
    <row r="15" spans="1:15" ht="23.4" x14ac:dyDescent="0.45">
      <c r="A15" s="8"/>
      <c r="B15" s="3"/>
      <c r="C15" s="2"/>
      <c r="D15" s="14" t="s">
        <v>6</v>
      </c>
      <c r="E15" s="21" t="s">
        <v>15</v>
      </c>
      <c r="F15" s="2"/>
      <c r="G15" s="2"/>
      <c r="H15" s="2"/>
      <c r="I15" s="2"/>
      <c r="J15" s="2"/>
      <c r="K15" s="2"/>
      <c r="L15" s="4"/>
      <c r="M15" s="9"/>
    </row>
    <row r="16" spans="1:15" ht="47.4" thickBot="1" x14ac:dyDescent="0.5">
      <c r="A16" s="8"/>
      <c r="B16" s="3"/>
      <c r="C16" s="2"/>
      <c r="D16" s="17" t="s">
        <v>13</v>
      </c>
      <c r="E16" s="21" t="s">
        <v>14</v>
      </c>
      <c r="F16" s="2"/>
      <c r="G16" s="2"/>
      <c r="H16" s="2"/>
      <c r="I16" s="2"/>
      <c r="J16" s="2"/>
      <c r="K16" s="2"/>
      <c r="L16" s="4"/>
      <c r="M16" s="9"/>
    </row>
    <row r="17" spans="1:13" ht="15" thickBot="1" x14ac:dyDescent="0.35">
      <c r="A17" s="8"/>
      <c r="B17" s="3"/>
      <c r="C17" s="2"/>
      <c r="D17" s="2"/>
      <c r="E17" s="2"/>
      <c r="F17" s="2"/>
      <c r="G17" s="2"/>
      <c r="H17" s="2"/>
      <c r="I17" s="2"/>
      <c r="J17" s="2"/>
      <c r="K17" s="2"/>
      <c r="L17" s="4"/>
      <c r="M17" s="9"/>
    </row>
    <row r="18" spans="1:13" ht="29.4" customHeight="1" thickBot="1" x14ac:dyDescent="0.35">
      <c r="A18" s="8"/>
      <c r="B18" s="3"/>
      <c r="C18" s="2"/>
      <c r="D18" s="33" t="s">
        <v>20</v>
      </c>
      <c r="E18" s="45">
        <v>16424349.135239569</v>
      </c>
      <c r="F18" s="2"/>
      <c r="G18" s="2"/>
      <c r="H18" s="2"/>
      <c r="I18" s="2"/>
      <c r="J18" s="2"/>
      <c r="K18" s="2"/>
      <c r="L18" s="4"/>
      <c r="M18" s="9"/>
    </row>
    <row r="19" spans="1:13" ht="29.4" customHeight="1" thickBot="1" x14ac:dyDescent="0.35">
      <c r="A19" s="8"/>
      <c r="B19" s="3"/>
      <c r="C19" s="2"/>
      <c r="D19" s="22" t="s">
        <v>21</v>
      </c>
      <c r="E19" s="46">
        <v>21899132.180319425</v>
      </c>
      <c r="F19" s="2"/>
      <c r="G19" s="2"/>
      <c r="H19" s="2"/>
      <c r="I19" s="2"/>
      <c r="J19" s="2"/>
      <c r="K19" s="2"/>
      <c r="L19" s="4"/>
      <c r="M19" s="9"/>
    </row>
    <row r="20" spans="1:13" ht="11.4" customHeight="1" x14ac:dyDescent="0.3">
      <c r="A20" s="8"/>
      <c r="B20" s="2"/>
      <c r="C20" s="2"/>
      <c r="D20" s="2"/>
      <c r="E20" s="2"/>
      <c r="F20" s="2"/>
      <c r="G20" s="2"/>
      <c r="H20" s="2"/>
      <c r="I20" s="2"/>
      <c r="J20" s="2"/>
      <c r="K20" s="2"/>
      <c r="L20" s="4"/>
      <c r="M20" s="9"/>
    </row>
    <row r="21" spans="1:13" ht="15" thickBot="1" x14ac:dyDescent="0.35">
      <c r="A21" s="10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2"/>
    </row>
  </sheetData>
  <mergeCells count="2">
    <mergeCell ref="B2:L6"/>
    <mergeCell ref="D9:E9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6A558764-9A13-4E92-9655-A3708291CF68}">
          <x14:formula1>
            <xm:f>DATOS!$D$13:$D$14</xm:f>
          </x14:formula1>
          <xm:sqref>E10</xm:sqref>
        </x14:dataValidation>
        <x14:dataValidation type="list" allowBlank="1" showInputMessage="1" showErrorMessage="1" xr:uid="{975CDDD2-1F10-4822-A51F-1D81F345939A}">
          <x14:formula1>
            <xm:f>DATOS!$G$3:$G$113</xm:f>
          </x14:formula1>
          <xm:sqref>E11</xm:sqref>
        </x14:dataValidation>
        <x14:dataValidation type="list" allowBlank="1" showInputMessage="1" showErrorMessage="1" xr:uid="{3C06BD6A-A966-42E2-9CF4-758E97587879}">
          <x14:formula1>
            <xm:f>DATOS!$D$15:$D$16</xm:f>
          </x14:formula1>
          <xm:sqref>E12</xm:sqref>
        </x14:dataValidation>
        <x14:dataValidation type="list" allowBlank="1" showInputMessage="1" showErrorMessage="1" xr:uid="{A748AC0E-CC5A-4EA1-8AEF-9FC1264CFD17}">
          <x14:formula1>
            <xm:f>DATOS!$D$17:$D$18</xm:f>
          </x14:formula1>
          <xm:sqref>E13</xm:sqref>
        </x14:dataValidation>
        <x14:dataValidation type="list" allowBlank="1" showInputMessage="1" showErrorMessage="1" xr:uid="{E34B7CE7-EE10-4469-B2CF-AE379FD8C4B4}">
          <x14:formula1>
            <xm:f>DATOS!$D$19:$D$20</xm:f>
          </x14:formula1>
          <xm:sqref>E14</xm:sqref>
        </x14:dataValidation>
        <x14:dataValidation type="list" allowBlank="1" showInputMessage="1" showErrorMessage="1" xr:uid="{00FBCB8D-0CCF-46BA-8012-A5DD8FF8E9A9}">
          <x14:formula1>
            <xm:f>DATOS!$D$21:$D$22</xm:f>
          </x14:formula1>
          <xm:sqref>E15</xm:sqref>
        </x14:dataValidation>
        <x14:dataValidation type="list" allowBlank="1" showInputMessage="1" showErrorMessage="1" xr:uid="{490EDC09-C10D-4A6F-B327-BAE02BC3EF0E}">
          <x14:formula1>
            <xm:f>DATOS!$D$23:$D$24</xm:f>
          </x14:formula1>
          <xm:sqref>E16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3AC3B-1DAB-4F38-B759-70EC2E4CEB65}">
  <sheetPr codeName="Hoja2"/>
  <dimension ref="B3:K113"/>
  <sheetViews>
    <sheetView workbookViewId="0">
      <selection activeCell="J21" sqref="J21"/>
    </sheetView>
  </sheetViews>
  <sheetFormatPr baseColWidth="10" defaultRowHeight="14.4" x14ac:dyDescent="0.3"/>
  <cols>
    <col min="1" max="1" width="24.77734375" customWidth="1"/>
    <col min="4" max="4" width="11.5546875" style="43"/>
    <col min="5" max="5" width="20.88671875" style="43" bestFit="1" customWidth="1"/>
    <col min="7" max="7" width="11.5546875" style="43"/>
    <col min="8" max="8" width="18.109375" style="43" customWidth="1"/>
    <col min="9" max="9" width="18" customWidth="1"/>
    <col min="10" max="10" width="18.44140625" bestFit="1" customWidth="1"/>
    <col min="11" max="11" width="36" bestFit="1" customWidth="1"/>
  </cols>
  <sheetData>
    <row r="3" spans="2:11" x14ac:dyDescent="0.3">
      <c r="G3" s="42">
        <v>0</v>
      </c>
      <c r="H3" s="42">
        <v>1</v>
      </c>
      <c r="J3" s="42">
        <f>VLOOKUP('INTERFAZ PRINCIPAL'!E10,D13:E14,2,FALSE)</f>
        <v>0</v>
      </c>
      <c r="K3" s="34" t="s">
        <v>7</v>
      </c>
    </row>
    <row r="4" spans="2:11" x14ac:dyDescent="0.3">
      <c r="G4" s="42">
        <v>1</v>
      </c>
      <c r="H4" s="42">
        <v>1</v>
      </c>
      <c r="J4" s="42">
        <f>VLOOKUP('INTERFAZ PRINCIPAL'!E11,G3:H113,2,FALSE)</f>
        <v>1</v>
      </c>
      <c r="K4" s="34" t="s">
        <v>8</v>
      </c>
    </row>
    <row r="5" spans="2:11" x14ac:dyDescent="0.3">
      <c r="G5" s="42">
        <v>2</v>
      </c>
      <c r="H5" s="42">
        <v>1</v>
      </c>
      <c r="J5" s="42">
        <f>VLOOKUP('INTERFAZ PRINCIPAL'!E12,D16:E17,2,FALSE)</f>
        <v>0</v>
      </c>
      <c r="K5" s="34" t="s">
        <v>3</v>
      </c>
    </row>
    <row r="6" spans="2:11" x14ac:dyDescent="0.3">
      <c r="G6" s="42">
        <v>3</v>
      </c>
      <c r="H6" s="42">
        <v>1</v>
      </c>
      <c r="J6" s="42">
        <f>VLOOKUP('INTERFAZ PRINCIPAL'!E13,D17:E18,2,FALSE)</f>
        <v>0</v>
      </c>
      <c r="K6" s="34" t="s">
        <v>4</v>
      </c>
    </row>
    <row r="7" spans="2:11" x14ac:dyDescent="0.3">
      <c r="G7" s="42">
        <v>4</v>
      </c>
      <c r="H7" s="42">
        <v>1</v>
      </c>
      <c r="J7" s="42">
        <f>VLOOKUP('INTERFAZ PRINCIPAL'!E14,D18:E19,2,FALSE)</f>
        <v>0</v>
      </c>
      <c r="K7" s="34" t="s">
        <v>5</v>
      </c>
    </row>
    <row r="8" spans="2:11" x14ac:dyDescent="0.3">
      <c r="G8" s="42">
        <v>5</v>
      </c>
      <c r="H8" s="42">
        <v>1</v>
      </c>
      <c r="J8" s="42">
        <f>VLOOKUP('INTERFAZ PRINCIPAL'!E15,D19:E20,2,FALSE)</f>
        <v>0</v>
      </c>
      <c r="K8" s="34" t="s">
        <v>6</v>
      </c>
    </row>
    <row r="9" spans="2:11" x14ac:dyDescent="0.3">
      <c r="G9" s="42">
        <v>6</v>
      </c>
      <c r="H9" s="42">
        <v>1</v>
      </c>
      <c r="J9" s="42">
        <f>VLOOKUP('INTERFAZ PRINCIPAL'!E16,D20:E21,2,FALSE)</f>
        <v>1</v>
      </c>
      <c r="K9" s="34" t="s">
        <v>13</v>
      </c>
    </row>
    <row r="10" spans="2:11" x14ac:dyDescent="0.3">
      <c r="G10" s="42">
        <v>7</v>
      </c>
      <c r="H10" s="42">
        <v>1</v>
      </c>
    </row>
    <row r="11" spans="2:11" x14ac:dyDescent="0.3">
      <c r="G11" s="42">
        <v>8</v>
      </c>
      <c r="H11" s="42">
        <v>1</v>
      </c>
    </row>
    <row r="12" spans="2:11" x14ac:dyDescent="0.3">
      <c r="G12" s="42">
        <v>9</v>
      </c>
      <c r="H12" s="42">
        <v>1</v>
      </c>
      <c r="J12" s="32">
        <f>1697638.07501309+ DATOS!J3*(-705350.01534971)+DATOS!J4*895355.36511158+DATOS!J5* 27897417.5188969+DATOS!J6*11303870.1981068+DATOS!J7*4867757.0808395+DATOS!J8* 2067104.80359574+DATOS!J9*13831355.6951149</f>
        <v>16424349.135239569</v>
      </c>
      <c r="K12" s="34" t="s">
        <v>18</v>
      </c>
    </row>
    <row r="13" spans="2:11" x14ac:dyDescent="0.3">
      <c r="B13" s="38" t="s">
        <v>9</v>
      </c>
      <c r="C13" s="39"/>
      <c r="D13" s="68" t="s">
        <v>11</v>
      </c>
      <c r="E13" s="42">
        <v>1</v>
      </c>
      <c r="G13" s="42">
        <v>10</v>
      </c>
      <c r="H13" s="42">
        <v>1</v>
      </c>
    </row>
    <row r="14" spans="2:11" x14ac:dyDescent="0.3">
      <c r="B14" s="40"/>
      <c r="C14" s="41"/>
      <c r="D14" s="68" t="s">
        <v>12</v>
      </c>
      <c r="E14" s="42">
        <v>0</v>
      </c>
      <c r="G14" s="42">
        <v>11</v>
      </c>
      <c r="H14" s="42">
        <v>1</v>
      </c>
    </row>
    <row r="15" spans="2:11" x14ac:dyDescent="0.3">
      <c r="B15" s="38" t="s">
        <v>0</v>
      </c>
      <c r="C15" s="39"/>
      <c r="D15" s="68" t="s">
        <v>14</v>
      </c>
      <c r="E15" s="42">
        <v>1</v>
      </c>
      <c r="G15" s="42">
        <v>12</v>
      </c>
      <c r="H15" s="42">
        <v>1</v>
      </c>
      <c r="J15" s="49" t="s">
        <v>22</v>
      </c>
      <c r="K15" s="49"/>
    </row>
    <row r="16" spans="2:11" x14ac:dyDescent="0.3">
      <c r="B16" s="40"/>
      <c r="C16" s="41"/>
      <c r="D16" s="68" t="s">
        <v>15</v>
      </c>
      <c r="E16" s="42">
        <v>0</v>
      </c>
      <c r="G16" s="42">
        <v>13</v>
      </c>
      <c r="H16" s="42">
        <v>1</v>
      </c>
      <c r="J16" s="34" t="s">
        <v>23</v>
      </c>
      <c r="K16" s="35">
        <v>0.08</v>
      </c>
    </row>
    <row r="17" spans="2:11" x14ac:dyDescent="0.3">
      <c r="B17" s="38" t="s">
        <v>1</v>
      </c>
      <c r="C17" s="39"/>
      <c r="D17" s="68" t="s">
        <v>14</v>
      </c>
      <c r="E17" s="42">
        <v>1</v>
      </c>
      <c r="G17" s="42">
        <v>14</v>
      </c>
      <c r="H17" s="42">
        <v>1</v>
      </c>
      <c r="J17" s="34" t="s">
        <v>24</v>
      </c>
      <c r="K17" s="35">
        <v>0.12</v>
      </c>
    </row>
    <row r="18" spans="2:11" x14ac:dyDescent="0.3">
      <c r="B18" s="40"/>
      <c r="C18" s="41"/>
      <c r="D18" s="68" t="s">
        <v>15</v>
      </c>
      <c r="E18" s="42">
        <v>0</v>
      </c>
      <c r="G18" s="42">
        <v>15</v>
      </c>
      <c r="H18" s="42">
        <v>1</v>
      </c>
      <c r="J18" s="34" t="s">
        <v>25</v>
      </c>
      <c r="K18" s="35">
        <v>0.05</v>
      </c>
    </row>
    <row r="19" spans="2:11" x14ac:dyDescent="0.3">
      <c r="B19" s="38" t="s">
        <v>2</v>
      </c>
      <c r="C19" s="39"/>
      <c r="D19" s="68" t="s">
        <v>14</v>
      </c>
      <c r="E19" s="42">
        <v>1</v>
      </c>
      <c r="G19" s="42">
        <v>16</v>
      </c>
      <c r="H19" s="42">
        <v>1</v>
      </c>
      <c r="J19" s="47" t="s">
        <v>26</v>
      </c>
      <c r="K19" s="48">
        <f>SUM(K16:K18)</f>
        <v>0.25</v>
      </c>
    </row>
    <row r="20" spans="2:11" x14ac:dyDescent="0.3">
      <c r="B20" s="40"/>
      <c r="C20" s="41"/>
      <c r="D20" s="68" t="s">
        <v>15</v>
      </c>
      <c r="E20" s="42">
        <v>0</v>
      </c>
      <c r="G20" s="42">
        <v>17</v>
      </c>
      <c r="H20" s="42">
        <v>1</v>
      </c>
    </row>
    <row r="21" spans="2:11" x14ac:dyDescent="0.3">
      <c r="B21" s="38" t="s">
        <v>16</v>
      </c>
      <c r="C21" s="39"/>
      <c r="D21" s="68" t="s">
        <v>14</v>
      </c>
      <c r="E21" s="42">
        <v>1</v>
      </c>
      <c r="G21" s="42">
        <v>18</v>
      </c>
      <c r="H21" s="42">
        <v>2</v>
      </c>
      <c r="J21" s="44">
        <f>J12/(1-K19)</f>
        <v>21899132.180319425</v>
      </c>
      <c r="K21" s="34" t="s">
        <v>22</v>
      </c>
    </row>
    <row r="22" spans="2:11" x14ac:dyDescent="0.3">
      <c r="B22" s="40"/>
      <c r="C22" s="41"/>
      <c r="D22" s="68" t="s">
        <v>15</v>
      </c>
      <c r="E22" s="42">
        <v>0</v>
      </c>
      <c r="G22" s="42">
        <v>19</v>
      </c>
      <c r="H22" s="42">
        <v>2</v>
      </c>
    </row>
    <row r="23" spans="2:11" x14ac:dyDescent="0.3">
      <c r="B23" s="38" t="s">
        <v>17</v>
      </c>
      <c r="C23" s="39"/>
      <c r="D23" s="68" t="s">
        <v>14</v>
      </c>
      <c r="E23" s="42">
        <v>1</v>
      </c>
      <c r="G23" s="42">
        <v>20</v>
      </c>
      <c r="H23" s="42">
        <v>2</v>
      </c>
    </row>
    <row r="24" spans="2:11" x14ac:dyDescent="0.3">
      <c r="B24" s="40"/>
      <c r="C24" s="41"/>
      <c r="D24" s="68" t="s">
        <v>15</v>
      </c>
      <c r="E24" s="42">
        <v>0</v>
      </c>
      <c r="G24" s="42">
        <v>21</v>
      </c>
      <c r="H24" s="42">
        <v>2</v>
      </c>
    </row>
    <row r="25" spans="2:11" x14ac:dyDescent="0.3">
      <c r="G25" s="42">
        <v>22</v>
      </c>
      <c r="H25" s="42">
        <v>2</v>
      </c>
    </row>
    <row r="26" spans="2:11" x14ac:dyDescent="0.3">
      <c r="G26" s="42">
        <v>23</v>
      </c>
      <c r="H26" s="42">
        <v>2</v>
      </c>
    </row>
    <row r="27" spans="2:11" x14ac:dyDescent="0.3">
      <c r="G27" s="42">
        <v>24</v>
      </c>
      <c r="H27" s="42">
        <v>2</v>
      </c>
    </row>
    <row r="28" spans="2:11" x14ac:dyDescent="0.3">
      <c r="G28" s="42">
        <v>25</v>
      </c>
      <c r="H28" s="42">
        <v>3</v>
      </c>
    </row>
    <row r="29" spans="2:11" x14ac:dyDescent="0.3">
      <c r="G29" s="42">
        <v>26</v>
      </c>
      <c r="H29" s="42">
        <v>3</v>
      </c>
    </row>
    <row r="30" spans="2:11" x14ac:dyDescent="0.3">
      <c r="G30" s="42">
        <v>27</v>
      </c>
      <c r="H30" s="42">
        <v>3</v>
      </c>
    </row>
    <row r="31" spans="2:11" x14ac:dyDescent="0.3">
      <c r="G31" s="42">
        <v>28</v>
      </c>
      <c r="H31" s="42">
        <v>3</v>
      </c>
    </row>
    <row r="32" spans="2:11" x14ac:dyDescent="0.3">
      <c r="G32" s="42">
        <v>29</v>
      </c>
      <c r="H32" s="42">
        <v>3</v>
      </c>
    </row>
    <row r="33" spans="7:8" x14ac:dyDescent="0.3">
      <c r="G33" s="42">
        <v>30</v>
      </c>
      <c r="H33" s="42">
        <v>3</v>
      </c>
    </row>
    <row r="34" spans="7:8" x14ac:dyDescent="0.3">
      <c r="G34" s="42">
        <v>31</v>
      </c>
      <c r="H34" s="42">
        <v>3</v>
      </c>
    </row>
    <row r="35" spans="7:8" x14ac:dyDescent="0.3">
      <c r="G35" s="42">
        <v>32</v>
      </c>
      <c r="H35" s="42">
        <v>3</v>
      </c>
    </row>
    <row r="36" spans="7:8" x14ac:dyDescent="0.3">
      <c r="G36" s="42">
        <v>33</v>
      </c>
      <c r="H36" s="42">
        <v>3</v>
      </c>
    </row>
    <row r="37" spans="7:8" x14ac:dyDescent="0.3">
      <c r="G37" s="42">
        <v>34</v>
      </c>
      <c r="H37" s="42">
        <v>3</v>
      </c>
    </row>
    <row r="38" spans="7:8" x14ac:dyDescent="0.3">
      <c r="G38" s="42">
        <v>35</v>
      </c>
      <c r="H38" s="42">
        <v>4</v>
      </c>
    </row>
    <row r="39" spans="7:8" x14ac:dyDescent="0.3">
      <c r="G39" s="42">
        <v>36</v>
      </c>
      <c r="H39" s="42">
        <v>4</v>
      </c>
    </row>
    <row r="40" spans="7:8" x14ac:dyDescent="0.3">
      <c r="G40" s="42">
        <v>37</v>
      </c>
      <c r="H40" s="42">
        <v>4</v>
      </c>
    </row>
    <row r="41" spans="7:8" x14ac:dyDescent="0.3">
      <c r="G41" s="42">
        <v>38</v>
      </c>
      <c r="H41" s="42">
        <v>4</v>
      </c>
    </row>
    <row r="42" spans="7:8" x14ac:dyDescent="0.3">
      <c r="G42" s="42">
        <v>39</v>
      </c>
      <c r="H42" s="42">
        <v>4</v>
      </c>
    </row>
    <row r="43" spans="7:8" x14ac:dyDescent="0.3">
      <c r="G43" s="42">
        <v>40</v>
      </c>
      <c r="H43" s="42">
        <v>4</v>
      </c>
    </row>
    <row r="44" spans="7:8" x14ac:dyDescent="0.3">
      <c r="G44" s="42">
        <v>41</v>
      </c>
      <c r="H44" s="42">
        <v>4</v>
      </c>
    </row>
    <row r="45" spans="7:8" x14ac:dyDescent="0.3">
      <c r="G45" s="42">
        <v>42</v>
      </c>
      <c r="H45" s="42">
        <v>4</v>
      </c>
    </row>
    <row r="46" spans="7:8" x14ac:dyDescent="0.3">
      <c r="G46" s="42">
        <v>43</v>
      </c>
      <c r="H46" s="42">
        <v>4</v>
      </c>
    </row>
    <row r="47" spans="7:8" x14ac:dyDescent="0.3">
      <c r="G47" s="42">
        <v>44</v>
      </c>
      <c r="H47" s="42">
        <v>4</v>
      </c>
    </row>
    <row r="48" spans="7:8" x14ac:dyDescent="0.3">
      <c r="G48" s="42">
        <v>45</v>
      </c>
      <c r="H48" s="42">
        <v>5</v>
      </c>
    </row>
    <row r="49" spans="7:8" x14ac:dyDescent="0.3">
      <c r="G49" s="42">
        <v>46</v>
      </c>
      <c r="H49" s="42">
        <v>5</v>
      </c>
    </row>
    <row r="50" spans="7:8" x14ac:dyDescent="0.3">
      <c r="G50" s="42">
        <v>47</v>
      </c>
      <c r="H50" s="42">
        <v>5</v>
      </c>
    </row>
    <row r="51" spans="7:8" x14ac:dyDescent="0.3">
      <c r="G51" s="42">
        <v>48</v>
      </c>
      <c r="H51" s="42">
        <v>5</v>
      </c>
    </row>
    <row r="52" spans="7:8" x14ac:dyDescent="0.3">
      <c r="G52" s="42">
        <v>49</v>
      </c>
      <c r="H52" s="42">
        <v>5</v>
      </c>
    </row>
    <row r="53" spans="7:8" x14ac:dyDescent="0.3">
      <c r="G53" s="42">
        <v>50</v>
      </c>
      <c r="H53" s="42">
        <v>5</v>
      </c>
    </row>
    <row r="54" spans="7:8" x14ac:dyDescent="0.3">
      <c r="G54" s="42">
        <v>51</v>
      </c>
      <c r="H54" s="42">
        <v>5</v>
      </c>
    </row>
    <row r="55" spans="7:8" x14ac:dyDescent="0.3">
      <c r="G55" s="42">
        <v>52</v>
      </c>
      <c r="H55" s="42">
        <v>5</v>
      </c>
    </row>
    <row r="56" spans="7:8" x14ac:dyDescent="0.3">
      <c r="G56" s="42">
        <v>53</v>
      </c>
      <c r="H56" s="42">
        <v>5</v>
      </c>
    </row>
    <row r="57" spans="7:8" x14ac:dyDescent="0.3">
      <c r="G57" s="42">
        <v>54</v>
      </c>
      <c r="H57" s="42">
        <v>5</v>
      </c>
    </row>
    <row r="58" spans="7:8" x14ac:dyDescent="0.3">
      <c r="G58" s="42">
        <v>55</v>
      </c>
      <c r="H58" s="42">
        <v>6</v>
      </c>
    </row>
    <row r="59" spans="7:8" x14ac:dyDescent="0.3">
      <c r="G59" s="42">
        <v>56</v>
      </c>
      <c r="H59" s="42">
        <v>6</v>
      </c>
    </row>
    <row r="60" spans="7:8" x14ac:dyDescent="0.3">
      <c r="G60" s="42">
        <v>57</v>
      </c>
      <c r="H60" s="42">
        <v>6</v>
      </c>
    </row>
    <row r="61" spans="7:8" x14ac:dyDescent="0.3">
      <c r="G61" s="42">
        <v>58</v>
      </c>
      <c r="H61" s="42">
        <v>6</v>
      </c>
    </row>
    <row r="62" spans="7:8" x14ac:dyDescent="0.3">
      <c r="G62" s="42">
        <v>59</v>
      </c>
      <c r="H62" s="42">
        <v>6</v>
      </c>
    </row>
    <row r="63" spans="7:8" x14ac:dyDescent="0.3">
      <c r="G63" s="42">
        <v>60</v>
      </c>
      <c r="H63" s="42">
        <v>6</v>
      </c>
    </row>
    <row r="64" spans="7:8" x14ac:dyDescent="0.3">
      <c r="G64" s="42">
        <v>61</v>
      </c>
      <c r="H64" s="42">
        <v>6</v>
      </c>
    </row>
    <row r="65" spans="7:8" x14ac:dyDescent="0.3">
      <c r="G65" s="42">
        <v>62</v>
      </c>
      <c r="H65" s="42">
        <v>6</v>
      </c>
    </row>
    <row r="66" spans="7:8" x14ac:dyDescent="0.3">
      <c r="G66" s="42">
        <v>63</v>
      </c>
      <c r="H66" s="42">
        <v>6</v>
      </c>
    </row>
    <row r="67" spans="7:8" x14ac:dyDescent="0.3">
      <c r="G67" s="42">
        <v>64</v>
      </c>
      <c r="H67" s="42">
        <v>6</v>
      </c>
    </row>
    <row r="68" spans="7:8" x14ac:dyDescent="0.3">
      <c r="G68" s="42">
        <v>65</v>
      </c>
      <c r="H68" s="42">
        <v>7</v>
      </c>
    </row>
    <row r="69" spans="7:8" x14ac:dyDescent="0.3">
      <c r="G69" s="42">
        <v>66</v>
      </c>
      <c r="H69" s="42">
        <v>7</v>
      </c>
    </row>
    <row r="70" spans="7:8" x14ac:dyDescent="0.3">
      <c r="G70" s="42">
        <v>67</v>
      </c>
      <c r="H70" s="42">
        <v>7</v>
      </c>
    </row>
    <row r="71" spans="7:8" x14ac:dyDescent="0.3">
      <c r="G71" s="42">
        <v>68</v>
      </c>
      <c r="H71" s="42">
        <v>7</v>
      </c>
    </row>
    <row r="72" spans="7:8" x14ac:dyDescent="0.3">
      <c r="G72" s="42">
        <v>69</v>
      </c>
      <c r="H72" s="42">
        <v>7</v>
      </c>
    </row>
    <row r="73" spans="7:8" x14ac:dyDescent="0.3">
      <c r="G73" s="42">
        <v>70</v>
      </c>
      <c r="H73" s="42">
        <v>7</v>
      </c>
    </row>
    <row r="74" spans="7:8" x14ac:dyDescent="0.3">
      <c r="G74" s="42">
        <v>71</v>
      </c>
      <c r="H74" s="42">
        <v>7</v>
      </c>
    </row>
    <row r="75" spans="7:8" x14ac:dyDescent="0.3">
      <c r="G75" s="42">
        <v>72</v>
      </c>
      <c r="H75" s="42">
        <v>7</v>
      </c>
    </row>
    <row r="76" spans="7:8" x14ac:dyDescent="0.3">
      <c r="G76" s="42">
        <v>73</v>
      </c>
      <c r="H76" s="42">
        <v>7</v>
      </c>
    </row>
    <row r="77" spans="7:8" x14ac:dyDescent="0.3">
      <c r="G77" s="42">
        <v>74</v>
      </c>
      <c r="H77" s="42">
        <v>7</v>
      </c>
    </row>
    <row r="78" spans="7:8" x14ac:dyDescent="0.3">
      <c r="G78" s="42">
        <v>75</v>
      </c>
      <c r="H78" s="42">
        <v>7</v>
      </c>
    </row>
    <row r="79" spans="7:8" x14ac:dyDescent="0.3">
      <c r="G79" s="42">
        <v>76</v>
      </c>
      <c r="H79" s="42">
        <v>7</v>
      </c>
    </row>
    <row r="80" spans="7:8" x14ac:dyDescent="0.3">
      <c r="G80" s="42">
        <v>77</v>
      </c>
      <c r="H80" s="42">
        <v>7</v>
      </c>
    </row>
    <row r="81" spans="7:8" x14ac:dyDescent="0.3">
      <c r="G81" s="42">
        <v>78</v>
      </c>
      <c r="H81" s="42">
        <v>7</v>
      </c>
    </row>
    <row r="82" spans="7:8" x14ac:dyDescent="0.3">
      <c r="G82" s="42">
        <v>79</v>
      </c>
      <c r="H82" s="42">
        <v>7</v>
      </c>
    </row>
    <row r="83" spans="7:8" x14ac:dyDescent="0.3">
      <c r="G83" s="42">
        <v>80</v>
      </c>
      <c r="H83" s="42">
        <v>7</v>
      </c>
    </row>
    <row r="84" spans="7:8" x14ac:dyDescent="0.3">
      <c r="G84" s="42">
        <v>81</v>
      </c>
      <c r="H84" s="42">
        <v>7</v>
      </c>
    </row>
    <row r="85" spans="7:8" x14ac:dyDescent="0.3">
      <c r="G85" s="42">
        <v>82</v>
      </c>
      <c r="H85" s="42">
        <v>7</v>
      </c>
    </row>
    <row r="86" spans="7:8" x14ac:dyDescent="0.3">
      <c r="G86" s="42">
        <v>83</v>
      </c>
      <c r="H86" s="42">
        <v>7</v>
      </c>
    </row>
    <row r="87" spans="7:8" x14ac:dyDescent="0.3">
      <c r="G87" s="42">
        <v>84</v>
      </c>
      <c r="H87" s="42">
        <v>7</v>
      </c>
    </row>
    <row r="88" spans="7:8" x14ac:dyDescent="0.3">
      <c r="G88" s="42">
        <v>85</v>
      </c>
      <c r="H88" s="42">
        <v>7</v>
      </c>
    </row>
    <row r="89" spans="7:8" x14ac:dyDescent="0.3">
      <c r="G89" s="42">
        <v>86</v>
      </c>
      <c r="H89" s="42">
        <v>7</v>
      </c>
    </row>
    <row r="90" spans="7:8" x14ac:dyDescent="0.3">
      <c r="G90" s="42">
        <v>87</v>
      </c>
      <c r="H90" s="42">
        <v>7</v>
      </c>
    </row>
    <row r="91" spans="7:8" x14ac:dyDescent="0.3">
      <c r="G91" s="42">
        <v>88</v>
      </c>
      <c r="H91" s="42">
        <v>7</v>
      </c>
    </row>
    <row r="92" spans="7:8" x14ac:dyDescent="0.3">
      <c r="G92" s="42">
        <v>89</v>
      </c>
      <c r="H92" s="42">
        <v>7</v>
      </c>
    </row>
    <row r="93" spans="7:8" x14ac:dyDescent="0.3">
      <c r="G93" s="42">
        <v>90</v>
      </c>
      <c r="H93" s="42">
        <v>7</v>
      </c>
    </row>
    <row r="94" spans="7:8" x14ac:dyDescent="0.3">
      <c r="G94" s="42">
        <v>91</v>
      </c>
      <c r="H94" s="42">
        <v>7</v>
      </c>
    </row>
    <row r="95" spans="7:8" x14ac:dyDescent="0.3">
      <c r="G95" s="42">
        <v>92</v>
      </c>
      <c r="H95" s="42">
        <v>7</v>
      </c>
    </row>
    <row r="96" spans="7:8" x14ac:dyDescent="0.3">
      <c r="G96" s="42">
        <v>93</v>
      </c>
      <c r="H96" s="42">
        <v>7</v>
      </c>
    </row>
    <row r="97" spans="7:8" x14ac:dyDescent="0.3">
      <c r="G97" s="42">
        <v>94</v>
      </c>
      <c r="H97" s="42">
        <v>7</v>
      </c>
    </row>
    <row r="98" spans="7:8" x14ac:dyDescent="0.3">
      <c r="G98" s="42">
        <v>95</v>
      </c>
      <c r="H98" s="42">
        <v>7</v>
      </c>
    </row>
    <row r="99" spans="7:8" x14ac:dyDescent="0.3">
      <c r="G99" s="42">
        <v>96</v>
      </c>
      <c r="H99" s="42">
        <v>7</v>
      </c>
    </row>
    <row r="100" spans="7:8" x14ac:dyDescent="0.3">
      <c r="G100" s="42">
        <v>97</v>
      </c>
      <c r="H100" s="42">
        <v>7</v>
      </c>
    </row>
    <row r="101" spans="7:8" x14ac:dyDescent="0.3">
      <c r="G101" s="42">
        <v>98</v>
      </c>
      <c r="H101" s="42">
        <v>7</v>
      </c>
    </row>
    <row r="102" spans="7:8" x14ac:dyDescent="0.3">
      <c r="G102" s="42">
        <v>99</v>
      </c>
      <c r="H102" s="42">
        <v>7</v>
      </c>
    </row>
    <row r="103" spans="7:8" x14ac:dyDescent="0.3">
      <c r="G103" s="42">
        <v>100</v>
      </c>
      <c r="H103" s="42">
        <v>7</v>
      </c>
    </row>
    <row r="104" spans="7:8" x14ac:dyDescent="0.3">
      <c r="G104" s="42">
        <v>101</v>
      </c>
      <c r="H104" s="42">
        <v>7</v>
      </c>
    </row>
    <row r="105" spans="7:8" x14ac:dyDescent="0.3">
      <c r="G105" s="42">
        <v>102</v>
      </c>
      <c r="H105" s="42">
        <v>7</v>
      </c>
    </row>
    <row r="106" spans="7:8" x14ac:dyDescent="0.3">
      <c r="G106" s="42">
        <v>103</v>
      </c>
      <c r="H106" s="42">
        <v>7</v>
      </c>
    </row>
    <row r="107" spans="7:8" x14ac:dyDescent="0.3">
      <c r="G107" s="42">
        <v>104</v>
      </c>
      <c r="H107" s="42">
        <v>7</v>
      </c>
    </row>
    <row r="108" spans="7:8" x14ac:dyDescent="0.3">
      <c r="G108" s="42">
        <v>105</v>
      </c>
      <c r="H108" s="42">
        <v>7</v>
      </c>
    </row>
    <row r="109" spans="7:8" x14ac:dyDescent="0.3">
      <c r="G109" s="42">
        <v>106</v>
      </c>
      <c r="H109" s="42">
        <v>7</v>
      </c>
    </row>
    <row r="110" spans="7:8" x14ac:dyDescent="0.3">
      <c r="G110" s="42">
        <v>107</v>
      </c>
      <c r="H110" s="42">
        <v>7</v>
      </c>
    </row>
    <row r="111" spans="7:8" x14ac:dyDescent="0.3">
      <c r="G111" s="42">
        <v>108</v>
      </c>
      <c r="H111" s="42">
        <v>7</v>
      </c>
    </row>
    <row r="112" spans="7:8" x14ac:dyDescent="0.3">
      <c r="G112" s="42">
        <v>109</v>
      </c>
      <c r="H112" s="42">
        <v>7</v>
      </c>
    </row>
    <row r="113" spans="7:8" x14ac:dyDescent="0.3">
      <c r="G113" s="42">
        <v>110</v>
      </c>
      <c r="H113" s="42">
        <v>7</v>
      </c>
    </row>
  </sheetData>
  <mergeCells count="7">
    <mergeCell ref="B21:C22"/>
    <mergeCell ref="B23:C24"/>
    <mergeCell ref="J15:K15"/>
    <mergeCell ref="B13:C14"/>
    <mergeCell ref="B15:C16"/>
    <mergeCell ref="B17:C18"/>
    <mergeCell ref="B19:C2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311E4-2174-4D33-AEFC-B6A4E2FA0C39}">
  <sheetPr codeName="Hoja3"/>
  <dimension ref="A1:I23"/>
  <sheetViews>
    <sheetView tabSelected="1" zoomScale="70" zoomScaleNormal="70" workbookViewId="0">
      <selection activeCell="G17" sqref="G17"/>
    </sheetView>
  </sheetViews>
  <sheetFormatPr baseColWidth="10" defaultRowHeight="14.4" x14ac:dyDescent="0.3"/>
  <cols>
    <col min="1" max="1" width="3.33203125" customWidth="1"/>
    <col min="2" max="2" width="7.33203125" customWidth="1"/>
    <col min="3" max="3" width="39.5546875" customWidth="1"/>
    <col min="4" max="4" width="20" customWidth="1"/>
    <col min="5" max="5" width="7.109375" customWidth="1"/>
    <col min="6" max="6" width="93.6640625" customWidth="1"/>
    <col min="7" max="7" width="14.88671875" customWidth="1"/>
    <col min="8" max="8" width="8.44140625" customWidth="1"/>
    <col min="9" max="9" width="3" customWidth="1"/>
  </cols>
  <sheetData>
    <row r="1" spans="1:9" ht="15" thickBot="1" x14ac:dyDescent="0.35">
      <c r="A1" s="5"/>
      <c r="B1" s="6"/>
      <c r="C1" s="6"/>
      <c r="D1" s="6"/>
      <c r="E1" s="6"/>
      <c r="F1" s="6"/>
      <c r="G1" s="6"/>
      <c r="H1" s="6"/>
      <c r="I1" s="7"/>
    </row>
    <row r="2" spans="1:9" ht="21" customHeight="1" x14ac:dyDescent="0.3">
      <c r="A2" s="8"/>
      <c r="B2" s="24" t="s">
        <v>27</v>
      </c>
      <c r="C2" s="24"/>
      <c r="D2" s="24"/>
      <c r="E2" s="24"/>
      <c r="F2" s="24"/>
      <c r="G2" s="24"/>
      <c r="H2" s="24"/>
      <c r="I2" s="9"/>
    </row>
    <row r="3" spans="1:9" ht="21" customHeight="1" x14ac:dyDescent="0.3">
      <c r="A3" s="8"/>
      <c r="B3" s="27"/>
      <c r="C3" s="27"/>
      <c r="D3" s="27"/>
      <c r="E3" s="27"/>
      <c r="F3" s="27"/>
      <c r="G3" s="27"/>
      <c r="H3" s="27"/>
      <c r="I3" s="9"/>
    </row>
    <row r="4" spans="1:9" ht="21" customHeight="1" x14ac:dyDescent="0.3">
      <c r="A4" s="8"/>
      <c r="B4" s="27"/>
      <c r="C4" s="27"/>
      <c r="D4" s="27"/>
      <c r="E4" s="27"/>
      <c r="F4" s="27"/>
      <c r="G4" s="27"/>
      <c r="H4" s="27"/>
      <c r="I4" s="9"/>
    </row>
    <row r="5" spans="1:9" ht="21" customHeight="1" x14ac:dyDescent="0.3">
      <c r="A5" s="8"/>
      <c r="B5" s="27"/>
      <c r="C5" s="27"/>
      <c r="D5" s="27"/>
      <c r="E5" s="27"/>
      <c r="F5" s="27"/>
      <c r="G5" s="27"/>
      <c r="H5" s="27"/>
      <c r="I5" s="9"/>
    </row>
    <row r="6" spans="1:9" ht="21" customHeight="1" thickBot="1" x14ac:dyDescent="0.35">
      <c r="A6" s="8"/>
      <c r="B6" s="30"/>
      <c r="C6" s="30"/>
      <c r="D6" s="30"/>
      <c r="E6" s="30"/>
      <c r="F6" s="30"/>
      <c r="G6" s="30"/>
      <c r="H6" s="30"/>
      <c r="I6" s="9"/>
    </row>
    <row r="7" spans="1:9" ht="14.4" customHeight="1" thickBot="1" x14ac:dyDescent="0.35">
      <c r="A7" s="8"/>
      <c r="B7" s="2"/>
      <c r="C7" s="2"/>
      <c r="D7" s="2"/>
      <c r="E7" s="2"/>
      <c r="F7" s="2"/>
      <c r="G7" s="2"/>
      <c r="H7" s="2"/>
      <c r="I7" s="9"/>
    </row>
    <row r="8" spans="1:9" ht="29.4" thickBot="1" x14ac:dyDescent="0.6">
      <c r="A8" s="8"/>
      <c r="B8" s="2"/>
      <c r="C8" s="58" t="s">
        <v>19</v>
      </c>
      <c r="D8" s="60"/>
      <c r="E8" s="60"/>
      <c r="F8" s="60"/>
      <c r="G8" s="59"/>
      <c r="H8" s="2"/>
      <c r="I8" s="9"/>
    </row>
    <row r="9" spans="1:9" ht="15" thickBot="1" x14ac:dyDescent="0.35">
      <c r="A9" s="8"/>
      <c r="B9" s="2"/>
      <c r="C9" s="2"/>
      <c r="D9" s="2"/>
      <c r="E9" s="2"/>
      <c r="F9" s="2"/>
      <c r="G9" s="2"/>
      <c r="H9" s="2"/>
      <c r="I9" s="9"/>
    </row>
    <row r="10" spans="1:9" ht="29.4" thickBot="1" x14ac:dyDescent="0.6">
      <c r="A10" s="8"/>
      <c r="B10" s="2"/>
      <c r="C10" s="58" t="s">
        <v>42</v>
      </c>
      <c r="D10" s="59"/>
      <c r="E10" s="2"/>
      <c r="F10" s="58" t="s">
        <v>34</v>
      </c>
      <c r="G10" s="59"/>
      <c r="H10" s="2"/>
      <c r="I10" s="9"/>
    </row>
    <row r="11" spans="1:9" ht="23.4" x14ac:dyDescent="0.45">
      <c r="A11" s="8"/>
      <c r="B11" s="2"/>
      <c r="C11" s="61" t="s">
        <v>9</v>
      </c>
      <c r="D11" s="18" t="s">
        <v>12</v>
      </c>
      <c r="E11" s="2"/>
      <c r="F11" s="57" t="s">
        <v>35</v>
      </c>
      <c r="G11" s="56">
        <v>0</v>
      </c>
      <c r="H11" s="2"/>
      <c r="I11" s="9"/>
    </row>
    <row r="12" spans="1:9" ht="46.2" customHeight="1" x14ac:dyDescent="0.45">
      <c r="A12" s="8"/>
      <c r="B12" s="2"/>
      <c r="C12" s="62" t="s">
        <v>10</v>
      </c>
      <c r="D12" s="19">
        <v>3</v>
      </c>
      <c r="E12" s="2"/>
      <c r="F12" s="52" t="s">
        <v>36</v>
      </c>
      <c r="G12" s="21">
        <v>0</v>
      </c>
      <c r="H12" s="2"/>
      <c r="I12" s="9"/>
    </row>
    <row r="13" spans="1:9" ht="23.4" x14ac:dyDescent="0.45">
      <c r="A13" s="8"/>
      <c r="B13" s="2"/>
      <c r="C13" s="63" t="s">
        <v>28</v>
      </c>
      <c r="D13" s="20" t="s">
        <v>15</v>
      </c>
      <c r="E13" s="2"/>
      <c r="F13" s="52" t="s">
        <v>37</v>
      </c>
      <c r="G13" s="21"/>
      <c r="H13" s="2"/>
      <c r="I13" s="9"/>
    </row>
    <row r="14" spans="1:9" ht="24" customHeight="1" x14ac:dyDescent="0.45">
      <c r="A14" s="8"/>
      <c r="B14" s="2"/>
      <c r="C14" s="64" t="s">
        <v>4</v>
      </c>
      <c r="D14" s="19" t="s">
        <v>15</v>
      </c>
      <c r="E14" s="2"/>
      <c r="F14" s="52" t="s">
        <v>38</v>
      </c>
      <c r="G14" s="21">
        <v>0</v>
      </c>
      <c r="H14" s="2"/>
      <c r="I14" s="9"/>
    </row>
    <row r="15" spans="1:9" ht="46.8" x14ac:dyDescent="0.45">
      <c r="A15" s="8"/>
      <c r="B15" s="2"/>
      <c r="C15" s="63" t="s">
        <v>5</v>
      </c>
      <c r="D15" s="20" t="s">
        <v>15</v>
      </c>
      <c r="E15" s="2"/>
      <c r="F15" s="52" t="s">
        <v>39</v>
      </c>
      <c r="G15" s="21">
        <v>0</v>
      </c>
      <c r="H15" s="2"/>
      <c r="I15" s="9"/>
    </row>
    <row r="16" spans="1:9" ht="43.2" customHeight="1" x14ac:dyDescent="0.45">
      <c r="A16" s="8"/>
      <c r="B16" s="2"/>
      <c r="C16" s="62" t="s">
        <v>6</v>
      </c>
      <c r="D16" s="21" t="s">
        <v>15</v>
      </c>
      <c r="E16" s="2"/>
      <c r="F16" s="52" t="s">
        <v>40</v>
      </c>
      <c r="G16" s="21">
        <v>0</v>
      </c>
      <c r="H16" s="2"/>
      <c r="I16" s="9"/>
    </row>
    <row r="17" spans="1:9" ht="48.6" customHeight="1" thickBot="1" x14ac:dyDescent="0.5">
      <c r="A17" s="8"/>
      <c r="B17" s="2"/>
      <c r="C17" s="17" t="s">
        <v>13</v>
      </c>
      <c r="D17" s="53" t="s">
        <v>14</v>
      </c>
      <c r="E17" s="2"/>
      <c r="F17" s="55" t="s">
        <v>41</v>
      </c>
      <c r="G17" s="53">
        <v>0</v>
      </c>
      <c r="H17" s="2"/>
      <c r="I17" s="9"/>
    </row>
    <row r="18" spans="1:9" ht="20.399999999999999" customHeight="1" thickBot="1" x14ac:dyDescent="0.35">
      <c r="A18" s="8"/>
      <c r="B18" s="2"/>
      <c r="C18" s="2"/>
      <c r="D18" s="2"/>
      <c r="E18" s="2"/>
      <c r="F18" s="2"/>
      <c r="G18" s="2"/>
      <c r="H18" s="2"/>
      <c r="I18" s="9"/>
    </row>
    <row r="19" spans="1:9" ht="24" thickBot="1" x14ac:dyDescent="0.35">
      <c r="A19" s="8"/>
      <c r="B19" s="2"/>
      <c r="C19" s="33" t="s">
        <v>20</v>
      </c>
      <c r="D19" s="45"/>
      <c r="E19" s="2"/>
      <c r="F19" s="2"/>
      <c r="G19" s="2"/>
      <c r="H19" s="2"/>
      <c r="I19" s="9"/>
    </row>
    <row r="20" spans="1:9" ht="24" thickBot="1" x14ac:dyDescent="0.35">
      <c r="A20" s="8"/>
      <c r="B20" s="2"/>
      <c r="C20" s="22" t="s">
        <v>21</v>
      </c>
      <c r="D20" s="46"/>
      <c r="E20" s="2"/>
      <c r="F20" s="2"/>
      <c r="G20" s="2"/>
      <c r="H20" s="2"/>
      <c r="I20" s="9"/>
    </row>
    <row r="21" spans="1:9" x14ac:dyDescent="0.3">
      <c r="A21" s="8"/>
      <c r="B21" s="2"/>
      <c r="C21" s="2"/>
      <c r="D21" s="2"/>
      <c r="E21" s="2"/>
      <c r="F21" s="2"/>
      <c r="G21" s="2"/>
      <c r="H21" s="2"/>
      <c r="I21" s="9"/>
    </row>
    <row r="22" spans="1:9" ht="11.4" customHeight="1" x14ac:dyDescent="0.3">
      <c r="A22" s="8"/>
      <c r="B22" s="2"/>
      <c r="C22" s="2"/>
      <c r="D22" s="2"/>
      <c r="E22" s="2"/>
      <c r="F22" s="2"/>
      <c r="G22" s="2"/>
      <c r="H22" s="2"/>
      <c r="I22" s="9"/>
    </row>
    <row r="23" spans="1:9" ht="15" thickBot="1" x14ac:dyDescent="0.35">
      <c r="A23" s="10"/>
      <c r="B23" s="11"/>
      <c r="C23" s="11"/>
      <c r="D23" s="11"/>
      <c r="E23" s="11"/>
      <c r="F23" s="11"/>
      <c r="G23" s="11"/>
      <c r="H23" s="11"/>
      <c r="I23" s="12"/>
    </row>
  </sheetData>
  <mergeCells count="4">
    <mergeCell ref="C10:D10"/>
    <mergeCell ref="F10:G10"/>
    <mergeCell ref="C8:G8"/>
    <mergeCell ref="B2:H6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1B0F957-EE18-4E58-95B4-02A4F2E8A648}">
          <x14:formula1>
            <xm:f>DATOS!$D$21:$D$22</xm:f>
          </x14:formula1>
          <xm:sqref>D16</xm:sqref>
        </x14:dataValidation>
        <x14:dataValidation type="list" allowBlank="1" showInputMessage="1" showErrorMessage="1" xr:uid="{6497216F-8243-405A-BB2E-082DD4981D76}">
          <x14:formula1>
            <xm:f>DATOS!$D$19:$D$20</xm:f>
          </x14:formula1>
          <xm:sqref>D15</xm:sqref>
        </x14:dataValidation>
        <x14:dataValidation type="list" allowBlank="1" showInputMessage="1" showErrorMessage="1" xr:uid="{074D3225-BA6D-4FC1-8451-9F40CA094B9B}">
          <x14:formula1>
            <xm:f>DATOS!$D$17:$D$18</xm:f>
          </x14:formula1>
          <xm:sqref>D14</xm:sqref>
        </x14:dataValidation>
        <x14:dataValidation type="list" allowBlank="1" showInputMessage="1" showErrorMessage="1" xr:uid="{C3C8DE03-4D73-4941-9C2B-B713D51D96A4}">
          <x14:formula1>
            <xm:f>DATOS!$D$15:$D$16</xm:f>
          </x14:formula1>
          <xm:sqref>D13</xm:sqref>
        </x14:dataValidation>
        <x14:dataValidation type="list" allowBlank="1" showInputMessage="1" showErrorMessage="1" xr:uid="{38730796-EC27-4587-80B9-46E7B5085CE9}">
          <x14:formula1>
            <xm:f>DATOS!$G$3:$G$113</xm:f>
          </x14:formula1>
          <xm:sqref>D12</xm:sqref>
        </x14:dataValidation>
        <x14:dataValidation type="list" allowBlank="1" showInputMessage="1" showErrorMessage="1" xr:uid="{F3911896-DE3F-418B-8412-1C732FD1EDAC}">
          <x14:formula1>
            <xm:f>DATOS!$D$13:$D$14</xm:f>
          </x14:formula1>
          <xm:sqref>D11</xm:sqref>
        </x14:dataValidation>
        <x14:dataValidation type="list" allowBlank="1" showInputMessage="1" showErrorMessage="1" xr:uid="{AB192219-E40C-470F-A1E8-3DF90B58FE6E}">
          <x14:formula1>
            <xm:f>DATOS!$D$23:$D$24</xm:f>
          </x14:formula1>
          <xm:sqref>D17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37649-60F9-4CBE-AE4F-D9A44B1AD6E6}">
  <sheetPr codeName="Hoja5"/>
  <dimension ref="B3:K113"/>
  <sheetViews>
    <sheetView topLeftCell="A13" workbookViewId="0">
      <selection activeCell="J29" sqref="J29"/>
    </sheetView>
  </sheetViews>
  <sheetFormatPr baseColWidth="10" defaultRowHeight="14.4" x14ac:dyDescent="0.3"/>
  <cols>
    <col min="1" max="1" width="24.77734375" customWidth="1"/>
    <col min="4" max="4" width="11.5546875" style="43"/>
    <col min="5" max="5" width="20.88671875" style="43" bestFit="1" customWidth="1"/>
    <col min="7" max="7" width="11.5546875" style="43"/>
    <col min="8" max="8" width="18.109375" style="43" customWidth="1"/>
    <col min="9" max="9" width="18" customWidth="1"/>
    <col min="10" max="10" width="18.44140625" bestFit="1" customWidth="1"/>
    <col min="11" max="11" width="36" bestFit="1" customWidth="1"/>
  </cols>
  <sheetData>
    <row r="3" spans="2:11" x14ac:dyDescent="0.3">
      <c r="G3" s="42">
        <v>0</v>
      </c>
      <c r="H3" s="42">
        <v>1</v>
      </c>
      <c r="J3" s="42">
        <f>VLOOKUP('INTERFAZ PRINCIPAL M2'!D11,'DATOS M2'!D13:E14,2,FALSE)</f>
        <v>0</v>
      </c>
      <c r="K3" s="34" t="s">
        <v>7</v>
      </c>
    </row>
    <row r="4" spans="2:11" x14ac:dyDescent="0.3">
      <c r="G4" s="42">
        <v>1</v>
      </c>
      <c r="H4" s="42">
        <v>1</v>
      </c>
      <c r="J4" s="42">
        <f>VLOOKUP('INTERFAZ PRINCIPAL M2'!D12,G3:H113,2,FALSE)</f>
        <v>1</v>
      </c>
      <c r="K4" s="34" t="s">
        <v>8</v>
      </c>
    </row>
    <row r="5" spans="2:11" x14ac:dyDescent="0.3">
      <c r="G5" s="42">
        <v>2</v>
      </c>
      <c r="H5" s="42">
        <v>1</v>
      </c>
      <c r="J5" s="42">
        <f>VLOOKUP('INTERFAZ PRINCIPAL M2'!D13,D15:E16,2,FALSE)</f>
        <v>0</v>
      </c>
      <c r="K5" s="34" t="s">
        <v>3</v>
      </c>
    </row>
    <row r="6" spans="2:11" x14ac:dyDescent="0.3">
      <c r="G6" s="42">
        <v>3</v>
      </c>
      <c r="H6" s="42">
        <v>1</v>
      </c>
      <c r="J6" s="42">
        <f>VLOOKUP('INTERFAZ PRINCIPAL M2'!D14,D17:E18,2,FALSE)</f>
        <v>0</v>
      </c>
      <c r="K6" s="34" t="s">
        <v>4</v>
      </c>
    </row>
    <row r="7" spans="2:11" x14ac:dyDescent="0.3">
      <c r="G7" s="42">
        <v>4</v>
      </c>
      <c r="H7" s="42">
        <v>1</v>
      </c>
      <c r="J7" s="42">
        <f>VLOOKUP('INTERFAZ PRINCIPAL M2'!D15,D19:E20,2,FALSE)</f>
        <v>0</v>
      </c>
      <c r="K7" s="34" t="s">
        <v>5</v>
      </c>
    </row>
    <row r="8" spans="2:11" x14ac:dyDescent="0.3">
      <c r="G8" s="42">
        <v>5</v>
      </c>
      <c r="H8" s="42">
        <v>1</v>
      </c>
      <c r="J8" s="37">
        <f>VLOOKUP('INTERFAZ PRINCIPAL M2'!D16,D21:E22,2,FALSE)</f>
        <v>0</v>
      </c>
      <c r="K8" s="34" t="s">
        <v>6</v>
      </c>
    </row>
    <row r="9" spans="2:11" x14ac:dyDescent="0.3">
      <c r="G9" s="42">
        <v>6</v>
      </c>
      <c r="H9" s="42">
        <v>1</v>
      </c>
      <c r="J9" s="65">
        <f>VLOOKUP('INTERFAZ PRINCIPAL M2'!D17,D23:E24,2,FALSE)</f>
        <v>1</v>
      </c>
      <c r="K9" s="36" t="s">
        <v>13</v>
      </c>
    </row>
    <row r="10" spans="2:11" ht="28.8" x14ac:dyDescent="0.3">
      <c r="G10" s="42">
        <v>7</v>
      </c>
      <c r="H10" s="42">
        <v>1</v>
      </c>
      <c r="J10" s="65">
        <f>'INTERFAZ PRINCIPAL M2'!G11</f>
        <v>0</v>
      </c>
      <c r="K10" s="66" t="s">
        <v>35</v>
      </c>
    </row>
    <row r="11" spans="2:11" ht="43.2" x14ac:dyDescent="0.3">
      <c r="G11" s="42">
        <v>8</v>
      </c>
      <c r="H11" s="42">
        <v>1</v>
      </c>
      <c r="J11" s="65">
        <f>'INTERFAZ PRINCIPAL M2'!G12</f>
        <v>0</v>
      </c>
      <c r="K11" s="66" t="s">
        <v>36</v>
      </c>
    </row>
    <row r="12" spans="2:11" ht="28.8" x14ac:dyDescent="0.3">
      <c r="G12" s="42">
        <v>9</v>
      </c>
      <c r="H12" s="42">
        <v>1</v>
      </c>
      <c r="J12" s="65">
        <f>'INTERFAZ PRINCIPAL M2'!G13</f>
        <v>0</v>
      </c>
      <c r="K12" s="66" t="s">
        <v>37</v>
      </c>
    </row>
    <row r="13" spans="2:11" ht="28.8" x14ac:dyDescent="0.3">
      <c r="B13" s="38" t="s">
        <v>9</v>
      </c>
      <c r="C13" s="39"/>
      <c r="D13" s="42" t="s">
        <v>11</v>
      </c>
      <c r="E13" s="42">
        <v>1</v>
      </c>
      <c r="G13" s="42">
        <v>10</v>
      </c>
      <c r="H13" s="42">
        <v>1</v>
      </c>
      <c r="J13" s="65">
        <f>'INTERFAZ PRINCIPAL M2'!G14</f>
        <v>0</v>
      </c>
      <c r="K13" s="66" t="s">
        <v>38</v>
      </c>
    </row>
    <row r="14" spans="2:11" ht="28.8" x14ac:dyDescent="0.3">
      <c r="B14" s="40"/>
      <c r="C14" s="41"/>
      <c r="D14" s="42" t="s">
        <v>12</v>
      </c>
      <c r="E14" s="42">
        <v>0</v>
      </c>
      <c r="G14" s="42">
        <v>11</v>
      </c>
      <c r="H14" s="42">
        <v>1</v>
      </c>
      <c r="J14" s="65">
        <f>'INTERFAZ PRINCIPAL M2'!G15</f>
        <v>0</v>
      </c>
      <c r="K14" s="66" t="s">
        <v>39</v>
      </c>
    </row>
    <row r="15" spans="2:11" ht="28.8" x14ac:dyDescent="0.3">
      <c r="B15" s="38" t="s">
        <v>0</v>
      </c>
      <c r="C15" s="39"/>
      <c r="D15" s="42" t="s">
        <v>14</v>
      </c>
      <c r="E15" s="42">
        <v>1</v>
      </c>
      <c r="G15" s="42">
        <v>12</v>
      </c>
      <c r="H15" s="42">
        <v>1</v>
      </c>
      <c r="J15" s="65">
        <f>'INTERFAZ PRINCIPAL M2'!G16</f>
        <v>0</v>
      </c>
      <c r="K15" s="66" t="s">
        <v>40</v>
      </c>
    </row>
    <row r="16" spans="2:11" ht="43.2" x14ac:dyDescent="0.3">
      <c r="B16" s="40"/>
      <c r="C16" s="41"/>
      <c r="D16" s="42" t="s">
        <v>15</v>
      </c>
      <c r="E16" s="42">
        <v>0</v>
      </c>
      <c r="G16" s="42">
        <v>13</v>
      </c>
      <c r="H16" s="42">
        <v>1</v>
      </c>
      <c r="J16" s="65">
        <f>'INTERFAZ PRINCIPAL M2'!G17</f>
        <v>0</v>
      </c>
      <c r="K16" s="66" t="s">
        <v>41</v>
      </c>
    </row>
    <row r="17" spans="2:11" x14ac:dyDescent="0.3">
      <c r="B17" s="38" t="s">
        <v>1</v>
      </c>
      <c r="C17" s="39"/>
      <c r="D17" s="42" t="s">
        <v>14</v>
      </c>
      <c r="E17" s="42">
        <v>1</v>
      </c>
      <c r="G17" s="42">
        <v>14</v>
      </c>
      <c r="H17" s="42">
        <v>1</v>
      </c>
    </row>
    <row r="18" spans="2:11" x14ac:dyDescent="0.3">
      <c r="B18" s="40"/>
      <c r="C18" s="41"/>
      <c r="D18" s="42" t="s">
        <v>15</v>
      </c>
      <c r="E18" s="42">
        <v>0</v>
      </c>
      <c r="G18" s="42">
        <v>15</v>
      </c>
      <c r="H18" s="42">
        <v>1</v>
      </c>
    </row>
    <row r="19" spans="2:11" x14ac:dyDescent="0.3">
      <c r="B19" s="38" t="s">
        <v>2</v>
      </c>
      <c r="C19" s="39"/>
      <c r="D19" s="42" t="s">
        <v>14</v>
      </c>
      <c r="E19" s="42">
        <v>1</v>
      </c>
      <c r="G19" s="42">
        <v>16</v>
      </c>
      <c r="H19" s="42">
        <v>1</v>
      </c>
    </row>
    <row r="20" spans="2:11" x14ac:dyDescent="0.3">
      <c r="B20" s="40"/>
      <c r="C20" s="41"/>
      <c r="D20" s="42" t="s">
        <v>15</v>
      </c>
      <c r="E20" s="42">
        <v>0</v>
      </c>
      <c r="G20" s="42">
        <v>17</v>
      </c>
      <c r="H20" s="42">
        <v>1</v>
      </c>
      <c r="J20" s="32">
        <f>-549908.689831264+773692.372560737*J3+212632.454980429*J4-1425836.47361062*J5+ 4048619.1753799*J6+ 2639606.78670989*J7 -244058.46554359*J8+3959959.89503556*J9+197233641.939633*J10+153915397.483045*J11+647778483.476452*J12+97681203.625435*J13+266251950.132414*J14+ 474739464.630458*J15+189607680.720803*J16</f>
        <v>3622683.6601847247</v>
      </c>
      <c r="K20" s="34" t="s">
        <v>18</v>
      </c>
    </row>
    <row r="21" spans="2:11" x14ac:dyDescent="0.3">
      <c r="B21" s="38" t="s">
        <v>16</v>
      </c>
      <c r="C21" s="39"/>
      <c r="D21" s="42" t="s">
        <v>14</v>
      </c>
      <c r="E21" s="42">
        <v>1</v>
      </c>
      <c r="G21" s="42">
        <v>18</v>
      </c>
      <c r="H21" s="42">
        <v>2</v>
      </c>
    </row>
    <row r="22" spans="2:11" x14ac:dyDescent="0.3">
      <c r="B22" s="40"/>
      <c r="C22" s="41"/>
      <c r="D22" s="42" t="s">
        <v>15</v>
      </c>
      <c r="E22" s="42">
        <v>0</v>
      </c>
      <c r="G22" s="42">
        <v>19</v>
      </c>
      <c r="H22" s="42">
        <v>2</v>
      </c>
    </row>
    <row r="23" spans="2:11" x14ac:dyDescent="0.3">
      <c r="B23" s="38" t="s">
        <v>17</v>
      </c>
      <c r="C23" s="39"/>
      <c r="D23" s="42" t="s">
        <v>14</v>
      </c>
      <c r="E23" s="42">
        <v>1</v>
      </c>
      <c r="G23" s="42">
        <v>20</v>
      </c>
      <c r="H23" s="42">
        <v>2</v>
      </c>
      <c r="J23" s="49" t="s">
        <v>22</v>
      </c>
      <c r="K23" s="49"/>
    </row>
    <row r="24" spans="2:11" x14ac:dyDescent="0.3">
      <c r="B24" s="40"/>
      <c r="C24" s="41"/>
      <c r="D24" s="42" t="s">
        <v>15</v>
      </c>
      <c r="E24" s="42">
        <v>0</v>
      </c>
      <c r="G24" s="42">
        <v>21</v>
      </c>
      <c r="H24" s="42">
        <v>2</v>
      </c>
      <c r="J24" s="34" t="s">
        <v>23</v>
      </c>
      <c r="K24" s="35">
        <v>0.08</v>
      </c>
    </row>
    <row r="25" spans="2:11" x14ac:dyDescent="0.3">
      <c r="G25" s="42">
        <v>22</v>
      </c>
      <c r="H25" s="42">
        <v>2</v>
      </c>
      <c r="J25" s="34" t="s">
        <v>24</v>
      </c>
      <c r="K25" s="35">
        <v>0.12</v>
      </c>
    </row>
    <row r="26" spans="2:11" x14ac:dyDescent="0.3">
      <c r="G26" s="42">
        <v>23</v>
      </c>
      <c r="H26" s="42">
        <v>2</v>
      </c>
      <c r="J26" s="34" t="s">
        <v>25</v>
      </c>
      <c r="K26" s="35">
        <v>0.05</v>
      </c>
    </row>
    <row r="27" spans="2:11" x14ac:dyDescent="0.3">
      <c r="G27" s="42">
        <v>24</v>
      </c>
      <c r="H27" s="42">
        <v>2</v>
      </c>
      <c r="J27" s="47" t="s">
        <v>26</v>
      </c>
      <c r="K27" s="48">
        <f>SUM(K24:K26)</f>
        <v>0.25</v>
      </c>
    </row>
    <row r="28" spans="2:11" x14ac:dyDescent="0.3">
      <c r="G28" s="42">
        <v>25</v>
      </c>
      <c r="H28" s="42">
        <v>3</v>
      </c>
    </row>
    <row r="29" spans="2:11" x14ac:dyDescent="0.3">
      <c r="G29" s="42">
        <v>26</v>
      </c>
      <c r="H29" s="42">
        <v>3</v>
      </c>
      <c r="J29" s="44">
        <f>J20/(1-K27)</f>
        <v>4830244.8802462993</v>
      </c>
      <c r="K29" s="34" t="s">
        <v>22</v>
      </c>
    </row>
    <row r="30" spans="2:11" x14ac:dyDescent="0.3">
      <c r="G30" s="42">
        <v>27</v>
      </c>
      <c r="H30" s="42">
        <v>3</v>
      </c>
    </row>
    <row r="31" spans="2:11" x14ac:dyDescent="0.3">
      <c r="G31" s="42">
        <v>28</v>
      </c>
      <c r="H31" s="42">
        <v>3</v>
      </c>
    </row>
    <row r="32" spans="2:11" x14ac:dyDescent="0.3">
      <c r="G32" s="42">
        <v>29</v>
      </c>
      <c r="H32" s="42">
        <v>3</v>
      </c>
    </row>
    <row r="33" spans="7:8" x14ac:dyDescent="0.3">
      <c r="G33" s="42">
        <v>30</v>
      </c>
      <c r="H33" s="42">
        <v>3</v>
      </c>
    </row>
    <row r="34" spans="7:8" x14ac:dyDescent="0.3">
      <c r="G34" s="42">
        <v>31</v>
      </c>
      <c r="H34" s="42">
        <v>3</v>
      </c>
    </row>
    <row r="35" spans="7:8" x14ac:dyDescent="0.3">
      <c r="G35" s="42">
        <v>32</v>
      </c>
      <c r="H35" s="42">
        <v>3</v>
      </c>
    </row>
    <row r="36" spans="7:8" x14ac:dyDescent="0.3">
      <c r="G36" s="42">
        <v>33</v>
      </c>
      <c r="H36" s="42">
        <v>3</v>
      </c>
    </row>
    <row r="37" spans="7:8" x14ac:dyDescent="0.3">
      <c r="G37" s="42">
        <v>34</v>
      </c>
      <c r="H37" s="42">
        <v>3</v>
      </c>
    </row>
    <row r="38" spans="7:8" x14ac:dyDescent="0.3">
      <c r="G38" s="42">
        <v>35</v>
      </c>
      <c r="H38" s="42">
        <v>4</v>
      </c>
    </row>
    <row r="39" spans="7:8" x14ac:dyDescent="0.3">
      <c r="G39" s="42">
        <v>36</v>
      </c>
      <c r="H39" s="42">
        <v>4</v>
      </c>
    </row>
    <row r="40" spans="7:8" x14ac:dyDescent="0.3">
      <c r="G40" s="42">
        <v>37</v>
      </c>
      <c r="H40" s="42">
        <v>4</v>
      </c>
    </row>
    <row r="41" spans="7:8" x14ac:dyDescent="0.3">
      <c r="G41" s="42">
        <v>38</v>
      </c>
      <c r="H41" s="42">
        <v>4</v>
      </c>
    </row>
    <row r="42" spans="7:8" x14ac:dyDescent="0.3">
      <c r="G42" s="42">
        <v>39</v>
      </c>
      <c r="H42" s="42">
        <v>4</v>
      </c>
    </row>
    <row r="43" spans="7:8" x14ac:dyDescent="0.3">
      <c r="G43" s="42">
        <v>40</v>
      </c>
      <c r="H43" s="42">
        <v>4</v>
      </c>
    </row>
    <row r="44" spans="7:8" x14ac:dyDescent="0.3">
      <c r="G44" s="42">
        <v>41</v>
      </c>
      <c r="H44" s="42">
        <v>4</v>
      </c>
    </row>
    <row r="45" spans="7:8" x14ac:dyDescent="0.3">
      <c r="G45" s="42">
        <v>42</v>
      </c>
      <c r="H45" s="42">
        <v>4</v>
      </c>
    </row>
    <row r="46" spans="7:8" x14ac:dyDescent="0.3">
      <c r="G46" s="42">
        <v>43</v>
      </c>
      <c r="H46" s="42">
        <v>4</v>
      </c>
    </row>
    <row r="47" spans="7:8" x14ac:dyDescent="0.3">
      <c r="G47" s="42">
        <v>44</v>
      </c>
      <c r="H47" s="42">
        <v>4</v>
      </c>
    </row>
    <row r="48" spans="7:8" x14ac:dyDescent="0.3">
      <c r="G48" s="42">
        <v>45</v>
      </c>
      <c r="H48" s="42">
        <v>5</v>
      </c>
    </row>
    <row r="49" spans="7:8" x14ac:dyDescent="0.3">
      <c r="G49" s="42">
        <v>46</v>
      </c>
      <c r="H49" s="42">
        <v>5</v>
      </c>
    </row>
    <row r="50" spans="7:8" x14ac:dyDescent="0.3">
      <c r="G50" s="42">
        <v>47</v>
      </c>
      <c r="H50" s="42">
        <v>5</v>
      </c>
    </row>
    <row r="51" spans="7:8" x14ac:dyDescent="0.3">
      <c r="G51" s="42">
        <v>48</v>
      </c>
      <c r="H51" s="42">
        <v>5</v>
      </c>
    </row>
    <row r="52" spans="7:8" x14ac:dyDescent="0.3">
      <c r="G52" s="42">
        <v>49</v>
      </c>
      <c r="H52" s="42">
        <v>5</v>
      </c>
    </row>
    <row r="53" spans="7:8" x14ac:dyDescent="0.3">
      <c r="G53" s="42">
        <v>50</v>
      </c>
      <c r="H53" s="42">
        <v>5</v>
      </c>
    </row>
    <row r="54" spans="7:8" x14ac:dyDescent="0.3">
      <c r="G54" s="42">
        <v>51</v>
      </c>
      <c r="H54" s="42">
        <v>5</v>
      </c>
    </row>
    <row r="55" spans="7:8" x14ac:dyDescent="0.3">
      <c r="G55" s="42">
        <v>52</v>
      </c>
      <c r="H55" s="42">
        <v>5</v>
      </c>
    </row>
    <row r="56" spans="7:8" x14ac:dyDescent="0.3">
      <c r="G56" s="42">
        <v>53</v>
      </c>
      <c r="H56" s="42">
        <v>5</v>
      </c>
    </row>
    <row r="57" spans="7:8" x14ac:dyDescent="0.3">
      <c r="G57" s="42">
        <v>54</v>
      </c>
      <c r="H57" s="42">
        <v>5</v>
      </c>
    </row>
    <row r="58" spans="7:8" x14ac:dyDescent="0.3">
      <c r="G58" s="42">
        <v>55</v>
      </c>
      <c r="H58" s="42">
        <v>6</v>
      </c>
    </row>
    <row r="59" spans="7:8" x14ac:dyDescent="0.3">
      <c r="G59" s="42">
        <v>56</v>
      </c>
      <c r="H59" s="42">
        <v>6</v>
      </c>
    </row>
    <row r="60" spans="7:8" x14ac:dyDescent="0.3">
      <c r="G60" s="42">
        <v>57</v>
      </c>
      <c r="H60" s="42">
        <v>6</v>
      </c>
    </row>
    <row r="61" spans="7:8" x14ac:dyDescent="0.3">
      <c r="G61" s="42">
        <v>58</v>
      </c>
      <c r="H61" s="42">
        <v>6</v>
      </c>
    </row>
    <row r="62" spans="7:8" x14ac:dyDescent="0.3">
      <c r="G62" s="42">
        <v>59</v>
      </c>
      <c r="H62" s="42">
        <v>6</v>
      </c>
    </row>
    <row r="63" spans="7:8" x14ac:dyDescent="0.3">
      <c r="G63" s="42">
        <v>60</v>
      </c>
      <c r="H63" s="42">
        <v>6</v>
      </c>
    </row>
    <row r="64" spans="7:8" x14ac:dyDescent="0.3">
      <c r="G64" s="42">
        <v>61</v>
      </c>
      <c r="H64" s="42">
        <v>6</v>
      </c>
    </row>
    <row r="65" spans="7:8" x14ac:dyDescent="0.3">
      <c r="G65" s="42">
        <v>62</v>
      </c>
      <c r="H65" s="42">
        <v>6</v>
      </c>
    </row>
    <row r="66" spans="7:8" x14ac:dyDescent="0.3">
      <c r="G66" s="42">
        <v>63</v>
      </c>
      <c r="H66" s="42">
        <v>6</v>
      </c>
    </row>
    <row r="67" spans="7:8" x14ac:dyDescent="0.3">
      <c r="G67" s="42">
        <v>64</v>
      </c>
      <c r="H67" s="42">
        <v>6</v>
      </c>
    </row>
    <row r="68" spans="7:8" x14ac:dyDescent="0.3">
      <c r="G68" s="42">
        <v>65</v>
      </c>
      <c r="H68" s="42">
        <v>7</v>
      </c>
    </row>
    <row r="69" spans="7:8" x14ac:dyDescent="0.3">
      <c r="G69" s="42">
        <v>66</v>
      </c>
      <c r="H69" s="42">
        <v>7</v>
      </c>
    </row>
    <row r="70" spans="7:8" x14ac:dyDescent="0.3">
      <c r="G70" s="42">
        <v>67</v>
      </c>
      <c r="H70" s="42">
        <v>7</v>
      </c>
    </row>
    <row r="71" spans="7:8" x14ac:dyDescent="0.3">
      <c r="G71" s="42">
        <v>68</v>
      </c>
      <c r="H71" s="42">
        <v>7</v>
      </c>
    </row>
    <row r="72" spans="7:8" x14ac:dyDescent="0.3">
      <c r="G72" s="42">
        <v>69</v>
      </c>
      <c r="H72" s="42">
        <v>7</v>
      </c>
    </row>
    <row r="73" spans="7:8" x14ac:dyDescent="0.3">
      <c r="G73" s="42">
        <v>70</v>
      </c>
      <c r="H73" s="42">
        <v>7</v>
      </c>
    </row>
    <row r="74" spans="7:8" x14ac:dyDescent="0.3">
      <c r="G74" s="42">
        <v>71</v>
      </c>
      <c r="H74" s="42">
        <v>7</v>
      </c>
    </row>
    <row r="75" spans="7:8" x14ac:dyDescent="0.3">
      <c r="G75" s="42">
        <v>72</v>
      </c>
      <c r="H75" s="42">
        <v>7</v>
      </c>
    </row>
    <row r="76" spans="7:8" x14ac:dyDescent="0.3">
      <c r="G76" s="42">
        <v>73</v>
      </c>
      <c r="H76" s="42">
        <v>7</v>
      </c>
    </row>
    <row r="77" spans="7:8" x14ac:dyDescent="0.3">
      <c r="G77" s="42">
        <v>74</v>
      </c>
      <c r="H77" s="42">
        <v>7</v>
      </c>
    </row>
    <row r="78" spans="7:8" x14ac:dyDescent="0.3">
      <c r="G78" s="42">
        <v>75</v>
      </c>
      <c r="H78" s="42">
        <v>7</v>
      </c>
    </row>
    <row r="79" spans="7:8" x14ac:dyDescent="0.3">
      <c r="G79" s="42">
        <v>76</v>
      </c>
      <c r="H79" s="42">
        <v>7</v>
      </c>
    </row>
    <row r="80" spans="7:8" x14ac:dyDescent="0.3">
      <c r="G80" s="42">
        <v>77</v>
      </c>
      <c r="H80" s="42">
        <v>7</v>
      </c>
    </row>
    <row r="81" spans="7:8" x14ac:dyDescent="0.3">
      <c r="G81" s="42">
        <v>78</v>
      </c>
      <c r="H81" s="42">
        <v>7</v>
      </c>
    </row>
    <row r="82" spans="7:8" x14ac:dyDescent="0.3">
      <c r="G82" s="42">
        <v>79</v>
      </c>
      <c r="H82" s="42">
        <v>7</v>
      </c>
    </row>
    <row r="83" spans="7:8" x14ac:dyDescent="0.3">
      <c r="G83" s="42">
        <v>80</v>
      </c>
      <c r="H83" s="42">
        <v>7</v>
      </c>
    </row>
    <row r="84" spans="7:8" x14ac:dyDescent="0.3">
      <c r="G84" s="42">
        <v>81</v>
      </c>
      <c r="H84" s="42">
        <v>7</v>
      </c>
    </row>
    <row r="85" spans="7:8" x14ac:dyDescent="0.3">
      <c r="G85" s="42">
        <v>82</v>
      </c>
      <c r="H85" s="42">
        <v>7</v>
      </c>
    </row>
    <row r="86" spans="7:8" x14ac:dyDescent="0.3">
      <c r="G86" s="42">
        <v>83</v>
      </c>
      <c r="H86" s="42">
        <v>7</v>
      </c>
    </row>
    <row r="87" spans="7:8" x14ac:dyDescent="0.3">
      <c r="G87" s="42">
        <v>84</v>
      </c>
      <c r="H87" s="42">
        <v>7</v>
      </c>
    </row>
    <row r="88" spans="7:8" x14ac:dyDescent="0.3">
      <c r="G88" s="42">
        <v>85</v>
      </c>
      <c r="H88" s="42">
        <v>7</v>
      </c>
    </row>
    <row r="89" spans="7:8" x14ac:dyDescent="0.3">
      <c r="G89" s="42">
        <v>86</v>
      </c>
      <c r="H89" s="42">
        <v>7</v>
      </c>
    </row>
    <row r="90" spans="7:8" x14ac:dyDescent="0.3">
      <c r="G90" s="42">
        <v>87</v>
      </c>
      <c r="H90" s="42">
        <v>7</v>
      </c>
    </row>
    <row r="91" spans="7:8" x14ac:dyDescent="0.3">
      <c r="G91" s="42">
        <v>88</v>
      </c>
      <c r="H91" s="42">
        <v>7</v>
      </c>
    </row>
    <row r="92" spans="7:8" x14ac:dyDescent="0.3">
      <c r="G92" s="42">
        <v>89</v>
      </c>
      <c r="H92" s="42">
        <v>7</v>
      </c>
    </row>
    <row r="93" spans="7:8" x14ac:dyDescent="0.3">
      <c r="G93" s="42">
        <v>90</v>
      </c>
      <c r="H93" s="42">
        <v>7</v>
      </c>
    </row>
    <row r="94" spans="7:8" x14ac:dyDescent="0.3">
      <c r="G94" s="42">
        <v>91</v>
      </c>
      <c r="H94" s="42">
        <v>7</v>
      </c>
    </row>
    <row r="95" spans="7:8" x14ac:dyDescent="0.3">
      <c r="G95" s="42">
        <v>92</v>
      </c>
      <c r="H95" s="42">
        <v>7</v>
      </c>
    </row>
    <row r="96" spans="7:8" x14ac:dyDescent="0.3">
      <c r="G96" s="42">
        <v>93</v>
      </c>
      <c r="H96" s="42">
        <v>7</v>
      </c>
    </row>
    <row r="97" spans="7:8" x14ac:dyDescent="0.3">
      <c r="G97" s="42">
        <v>94</v>
      </c>
      <c r="H97" s="42">
        <v>7</v>
      </c>
    </row>
    <row r="98" spans="7:8" x14ac:dyDescent="0.3">
      <c r="G98" s="42">
        <v>95</v>
      </c>
      <c r="H98" s="42">
        <v>7</v>
      </c>
    </row>
    <row r="99" spans="7:8" x14ac:dyDescent="0.3">
      <c r="G99" s="42">
        <v>96</v>
      </c>
      <c r="H99" s="42">
        <v>7</v>
      </c>
    </row>
    <row r="100" spans="7:8" x14ac:dyDescent="0.3">
      <c r="G100" s="42">
        <v>97</v>
      </c>
      <c r="H100" s="42">
        <v>7</v>
      </c>
    </row>
    <row r="101" spans="7:8" x14ac:dyDescent="0.3">
      <c r="G101" s="42">
        <v>98</v>
      </c>
      <c r="H101" s="42">
        <v>7</v>
      </c>
    </row>
    <row r="102" spans="7:8" x14ac:dyDescent="0.3">
      <c r="G102" s="42">
        <v>99</v>
      </c>
      <c r="H102" s="42">
        <v>7</v>
      </c>
    </row>
    <row r="103" spans="7:8" x14ac:dyDescent="0.3">
      <c r="G103" s="42">
        <v>100</v>
      </c>
      <c r="H103" s="42">
        <v>7</v>
      </c>
    </row>
    <row r="104" spans="7:8" x14ac:dyDescent="0.3">
      <c r="G104" s="42">
        <v>101</v>
      </c>
      <c r="H104" s="42">
        <v>7</v>
      </c>
    </row>
    <row r="105" spans="7:8" x14ac:dyDescent="0.3">
      <c r="G105" s="42">
        <v>102</v>
      </c>
      <c r="H105" s="42">
        <v>7</v>
      </c>
    </row>
    <row r="106" spans="7:8" x14ac:dyDescent="0.3">
      <c r="G106" s="42">
        <v>103</v>
      </c>
      <c r="H106" s="42">
        <v>7</v>
      </c>
    </row>
    <row r="107" spans="7:8" x14ac:dyDescent="0.3">
      <c r="G107" s="42">
        <v>104</v>
      </c>
      <c r="H107" s="42">
        <v>7</v>
      </c>
    </row>
    <row r="108" spans="7:8" x14ac:dyDescent="0.3">
      <c r="G108" s="42">
        <v>105</v>
      </c>
      <c r="H108" s="42">
        <v>7</v>
      </c>
    </row>
    <row r="109" spans="7:8" x14ac:dyDescent="0.3">
      <c r="G109" s="42">
        <v>106</v>
      </c>
      <c r="H109" s="42">
        <v>7</v>
      </c>
    </row>
    <row r="110" spans="7:8" x14ac:dyDescent="0.3">
      <c r="G110" s="42">
        <v>107</v>
      </c>
      <c r="H110" s="42">
        <v>7</v>
      </c>
    </row>
    <row r="111" spans="7:8" x14ac:dyDescent="0.3">
      <c r="G111" s="42">
        <v>108</v>
      </c>
      <c r="H111" s="42">
        <v>7</v>
      </c>
    </row>
    <row r="112" spans="7:8" x14ac:dyDescent="0.3">
      <c r="G112" s="42">
        <v>109</v>
      </c>
      <c r="H112" s="42">
        <v>7</v>
      </c>
    </row>
    <row r="113" spans="7:8" x14ac:dyDescent="0.3">
      <c r="G113" s="42">
        <v>110</v>
      </c>
      <c r="H113" s="42">
        <v>7</v>
      </c>
    </row>
  </sheetData>
  <mergeCells count="7">
    <mergeCell ref="B23:C24"/>
    <mergeCell ref="B13:C14"/>
    <mergeCell ref="B15:C16"/>
    <mergeCell ref="J23:K23"/>
    <mergeCell ref="B17:C18"/>
    <mergeCell ref="B19:C20"/>
    <mergeCell ref="B21:C2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38471-04B7-4B28-87AD-8EF9844A41A8}">
  <sheetPr codeName="Hoja4"/>
  <dimension ref="B4:B8"/>
  <sheetViews>
    <sheetView zoomScale="182" workbookViewId="0">
      <selection activeCell="B11" sqref="B11"/>
    </sheetView>
  </sheetViews>
  <sheetFormatPr baseColWidth="10" defaultRowHeight="14.4" x14ac:dyDescent="0.3"/>
  <cols>
    <col min="2" max="2" width="104" customWidth="1"/>
  </cols>
  <sheetData>
    <row r="4" spans="2:2" ht="21.6" x14ac:dyDescent="0.3">
      <c r="B4" s="67" t="s">
        <v>29</v>
      </c>
    </row>
    <row r="5" spans="2:2" x14ac:dyDescent="0.3">
      <c r="B5" s="67" t="s">
        <v>30</v>
      </c>
    </row>
    <row r="6" spans="2:2" ht="21.6" x14ac:dyDescent="0.3">
      <c r="B6" s="67" t="s">
        <v>31</v>
      </c>
    </row>
    <row r="7" spans="2:2" ht="21.6" x14ac:dyDescent="0.3">
      <c r="B7" s="67" t="s">
        <v>32</v>
      </c>
    </row>
    <row r="8" spans="2:2" ht="21.6" x14ac:dyDescent="0.3">
      <c r="B8" s="54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INTERFAZ PRINCIPAL</vt:lpstr>
      <vt:lpstr>DATOS</vt:lpstr>
      <vt:lpstr>INTERFAZ PRINCIPAL M2</vt:lpstr>
      <vt:lpstr>DATOS M2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jhan carlos</dc:creator>
  <cp:lastModifiedBy>jhan carlos</cp:lastModifiedBy>
  <dcterms:created xsi:type="dcterms:W3CDTF">2022-09-27T23:13:11Z</dcterms:created>
  <dcterms:modified xsi:type="dcterms:W3CDTF">2022-09-28T23:42:35Z</dcterms:modified>
</cp:coreProperties>
</file>